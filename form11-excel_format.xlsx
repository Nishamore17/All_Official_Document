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capgemini-my.sharepoint.com/personal/nisha_kadam_capgemini_com/Documents/Desktop/"/>
    </mc:Choice>
  </mc:AlternateContent>
  <xr:revisionPtr revIDLastSave="1" documentId="8_{1F488654-7CDF-4B78-A276-96B4FB2251B7}" xr6:coauthVersionLast="47" xr6:coauthVersionMax="47" xr10:uidLastSave="{D633C4B3-6362-45B9-BDB0-8411CA3DE5AB}"/>
  <bookViews>
    <workbookView xWindow="-108" yWindow="-108" windowWidth="23256" windowHeight="12456" activeTab="2" xr2:uid="{00000000-000D-0000-FFFF-FFFF00000000}"/>
  </bookViews>
  <sheets>
    <sheet name="Instruction" sheetId="6" r:id="rId1"/>
    <sheet name="UAN_Process" sheetId="8" r:id="rId2"/>
    <sheet name="Form 11 Format" sheetId="4" r:id="rId3"/>
    <sheet name="PDFFORM" sheetId="7" state="hidden" r:id="rId4"/>
  </sheets>
  <definedNames>
    <definedName name="_xlnm._FilterDatabase" localSheetId="2" hidden="1">'Form 11 Format'!$4:$4</definedName>
    <definedName name="_xlnm.Print_Area" localSheetId="2">'Form 11 Format'!$AM$78:$AW$159</definedName>
    <definedName name="_xlnm.Print_Area" localSheetId="3">PDFFORM!$A$1:$K$80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14" i="4" l="1"/>
  <c r="AS113" i="4"/>
  <c r="AS112" i="4"/>
  <c r="AS111" i="4"/>
  <c r="AS102" i="4"/>
  <c r="AS101" i="4"/>
  <c r="AS100" i="4"/>
  <c r="AS99" i="4"/>
  <c r="AS95" i="4"/>
  <c r="AS93" i="4"/>
  <c r="AS91" i="4"/>
  <c r="AS89" i="4"/>
  <c r="AS87" i="4" a="1"/>
  <c r="AS87" i="4" s="1"/>
  <c r="AS86" i="4"/>
  <c r="AT129" i="4" s="1"/>
  <c r="AT85" i="4"/>
  <c r="AS88" i="4" a="1"/>
  <c r="AS88" i="4" s="1"/>
  <c r="G10" i="7" l="1" a="1"/>
  <c r="G10" i="7" s="1"/>
  <c r="G25" i="7"/>
  <c r="G24" i="7"/>
  <c r="G22" i="7"/>
  <c r="G16" i="7"/>
  <c r="G9" i="7"/>
  <c r="H52" i="7" s="1"/>
  <c r="H8" i="7"/>
  <c r="G34" i="7"/>
  <c r="G37" i="7"/>
  <c r="G36" i="7"/>
  <c r="G35" i="7"/>
  <c r="G23" i="7"/>
  <c r="G18" i="7" l="1"/>
  <c r="G11" i="7" a="1"/>
  <c r="G11" i="7" s="1"/>
  <c r="G14" i="7"/>
  <c r="G12" i="7"/>
  <c r="AC5" i="4"/>
  <c r="S2" i="4"/>
  <c r="R2" i="4"/>
  <c r="Q2" i="4"/>
  <c r="P2" i="4"/>
  <c r="O2" i="4"/>
  <c r="M2" i="4"/>
  <c r="L2" i="4"/>
  <c r="K2" i="4"/>
  <c r="J2" i="4"/>
  <c r="I2" i="4"/>
  <c r="H2" i="4"/>
  <c r="G2" i="4"/>
  <c r="F2" i="4"/>
  <c r="E2" i="4"/>
  <c r="D2" i="4"/>
  <c r="C2" i="4"/>
  <c r="B2" i="4"/>
  <c r="A2" i="4"/>
  <c r="A3"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<sst xmlns="http://schemas.openxmlformats.org/spreadsheetml/2006/main" count="621" uniqueCount="536">
  <si>
    <t>PASSPORT NO.</t>
  </si>
  <si>
    <t>VISA ISSUING COUNTRY</t>
  </si>
  <si>
    <t xml:space="preserve">PASSPORT ISSUING COUNTRY </t>
  </si>
  <si>
    <t>MOBILE NUMBER</t>
  </si>
  <si>
    <t>PASSPORT VALID FROM (DD/MM/YYYY)</t>
  </si>
  <si>
    <t>PASSPORT VALID TILL (DD/MM/YYYY)</t>
  </si>
  <si>
    <t>VISA VALID FROM (DD/MM/YYYY)</t>
  </si>
  <si>
    <t>VISA VALID TILL (DD/MM/YYYY)</t>
  </si>
  <si>
    <t>ROW</t>
  </si>
  <si>
    <t>Subject</t>
  </si>
  <si>
    <t>Particulars column</t>
  </si>
  <si>
    <t>A</t>
  </si>
  <si>
    <t>GEID Number*</t>
  </si>
  <si>
    <t>B</t>
  </si>
  <si>
    <t>D</t>
  </si>
  <si>
    <t>E</t>
  </si>
  <si>
    <t>Single / Married / Divorcee / Widower</t>
  </si>
  <si>
    <t>L</t>
  </si>
  <si>
    <t>M</t>
  </si>
  <si>
    <t>N</t>
  </si>
  <si>
    <t>O</t>
  </si>
  <si>
    <t>If it is YES then require following all upcoming details mention in the excel sheet.</t>
  </si>
  <si>
    <t>P</t>
  </si>
  <si>
    <t>Passport Number</t>
  </si>
  <si>
    <t>Q</t>
  </si>
  <si>
    <t>Passport Valid From (dd/mm/yy)</t>
  </si>
  <si>
    <t>S</t>
  </si>
  <si>
    <t>Passport Valid Till (dd/mm/yy)</t>
  </si>
  <si>
    <t>T</t>
  </si>
  <si>
    <t>Visa Issusing Country</t>
  </si>
  <si>
    <t>U</t>
  </si>
  <si>
    <t>Visa Valid From (dd/mm/yy)</t>
  </si>
  <si>
    <t>V</t>
  </si>
  <si>
    <t>Visa Valid Till (dd/mm/yy)</t>
  </si>
  <si>
    <t>W</t>
  </si>
  <si>
    <t>10 digits (Only Numerical &amp; no Alphabetical)</t>
  </si>
  <si>
    <r>
      <t>NAME OF EMPLOYEE</t>
    </r>
    <r>
      <rPr>
        <b/>
        <sz val="12"/>
        <color rgb="FFFF0000"/>
        <rFont val="Calibri"/>
        <family val="2"/>
        <scheme val="minor"/>
      </rPr>
      <t xml:space="preserve"> *</t>
    </r>
  </si>
  <si>
    <r>
      <t>RELATIONSHIP (FATHER / HUSBAND)</t>
    </r>
    <r>
      <rPr>
        <b/>
        <sz val="12"/>
        <color rgb="FFFF0000"/>
        <rFont val="Calibri"/>
        <family val="2"/>
        <scheme val="minor"/>
      </rPr>
      <t>*</t>
    </r>
  </si>
  <si>
    <r>
      <t>MARITAL STATUS</t>
    </r>
    <r>
      <rPr>
        <b/>
        <sz val="12"/>
        <color rgb="FFFF0000"/>
        <rFont val="Calibri"/>
        <family val="2"/>
        <scheme val="minor"/>
      </rPr>
      <t>*</t>
    </r>
  </si>
  <si>
    <r>
      <t>WHETHER EARLIER A MEMBER OF EMPLOYEES PROVIDENT FUND SCHEME-  YES/NO</t>
    </r>
    <r>
      <rPr>
        <b/>
        <sz val="12"/>
        <color rgb="FFFF0000"/>
        <rFont val="Calibri"/>
        <family val="2"/>
        <scheme val="minor"/>
      </rPr>
      <t>*</t>
    </r>
  </si>
  <si>
    <r>
      <t xml:space="preserve">WHETHER EARLIER A MEMBER OF EMPLOYEES' PENSION SCHEME, 1995 </t>
    </r>
    <r>
      <rPr>
        <b/>
        <sz val="12"/>
        <color rgb="FFFF0000"/>
        <rFont val="Calibri"/>
        <family val="2"/>
        <scheme val="minor"/>
      </rPr>
      <t>*</t>
    </r>
  </si>
  <si>
    <r>
      <t>AADHAR NUMBER</t>
    </r>
    <r>
      <rPr>
        <b/>
        <sz val="12"/>
        <color rgb="FFFF0000"/>
        <rFont val="Calibri"/>
        <family val="2"/>
        <scheme val="minor"/>
      </rPr>
      <t>*</t>
    </r>
  </si>
  <si>
    <r>
      <t>INTERNATIONAL WORKER  -YES/NO</t>
    </r>
    <r>
      <rPr>
        <b/>
        <sz val="12"/>
        <color rgb="FFFF0000"/>
        <rFont val="Calibri"/>
        <family val="2"/>
        <scheme val="minor"/>
      </rPr>
      <t>*</t>
    </r>
  </si>
  <si>
    <r>
      <t xml:space="preserve">NATIONALITY </t>
    </r>
    <r>
      <rPr>
        <b/>
        <sz val="12"/>
        <color rgb="FFFF0000"/>
        <rFont val="Calibri"/>
        <family val="2"/>
        <scheme val="minor"/>
      </rPr>
      <t>*</t>
    </r>
  </si>
  <si>
    <t>Name of the Employee*</t>
  </si>
  <si>
    <t>Father / Husband Name*</t>
  </si>
  <si>
    <t>Marital Status*</t>
  </si>
  <si>
    <t>Date of Birth (dd/mm/yy)*</t>
  </si>
  <si>
    <t>Date of Joining (dd/mm/yy)*</t>
  </si>
  <si>
    <t>Whether Earlier A Member Of Employees Provident Fund Scheme (Y/N)*</t>
  </si>
  <si>
    <t>Whether Earlier A Member Of Employees Pension Scheme, 1995 (Y/N)*</t>
  </si>
  <si>
    <t>Aadhar card Number*</t>
  </si>
  <si>
    <t>International Worker (Y/N)*</t>
  </si>
  <si>
    <t>Nationality*</t>
  </si>
  <si>
    <t>All Asterisk Marks (*)  column should be Mandatory</t>
  </si>
  <si>
    <t>NAME OF THE COUTRY MENTIONED IN THE PASSPORT</t>
  </si>
  <si>
    <t>Name Of The Coutry Mentioned In The Passport</t>
  </si>
  <si>
    <t>Number should be linked with Aadhar card, as you will receive the OTP while doing any activity in the PF portal.</t>
  </si>
  <si>
    <t>C</t>
  </si>
  <si>
    <t>X</t>
  </si>
  <si>
    <t>Mobile Number*</t>
  </si>
  <si>
    <t>DOB as per (dd/mm/yyyy) format - as per E-Aadhar card</t>
  </si>
  <si>
    <t>I, J, K</t>
  </si>
  <si>
    <t>F,G,H</t>
  </si>
  <si>
    <t>R</t>
  </si>
  <si>
    <t>Y</t>
  </si>
  <si>
    <t>Z</t>
  </si>
  <si>
    <t>AA</t>
  </si>
  <si>
    <t>RELATIONSHIP (FATHER / HUSBAND)*</t>
  </si>
  <si>
    <t>PAN_VALIDATION</t>
  </si>
  <si>
    <r>
      <t>PAN NUMBER</t>
    </r>
    <r>
      <rPr>
        <b/>
        <sz val="12"/>
        <color rgb="FFFF0000"/>
        <rFont val="Calibri"/>
        <family val="2"/>
        <scheme val="minor"/>
      </rPr>
      <t>*</t>
    </r>
  </si>
  <si>
    <t>PAN Card Number*</t>
  </si>
  <si>
    <t>Before updating the below form 11 details, please go through to the notes which is in next sheet.</t>
  </si>
  <si>
    <t>Date of Birth</t>
  </si>
  <si>
    <r>
      <t>DD</t>
    </r>
    <r>
      <rPr>
        <b/>
        <sz val="12"/>
        <color rgb="FFFF0000"/>
        <rFont val="Calibri"/>
        <family val="2"/>
        <scheme val="minor"/>
      </rPr>
      <t>*</t>
    </r>
  </si>
  <si>
    <r>
      <t>MM</t>
    </r>
    <r>
      <rPr>
        <b/>
        <sz val="12"/>
        <color rgb="FFFF0000"/>
        <rFont val="Calibri"/>
        <family val="2"/>
        <scheme val="minor"/>
      </rPr>
      <t>*</t>
    </r>
  </si>
  <si>
    <r>
      <t>YYYY</t>
    </r>
    <r>
      <rPr>
        <b/>
        <sz val="12"/>
        <color rgb="FFFF0000"/>
        <rFont val="Calibri"/>
        <family val="2"/>
        <scheme val="minor"/>
      </rPr>
      <t>*</t>
    </r>
  </si>
  <si>
    <t>Father Name as per E-Aadhar card &amp; Spouse Name – Only Applicable for Married Women</t>
  </si>
  <si>
    <t xml:space="preserve">10 Alphabetics and Numerical Digits, After enter the PAN number pls check the column "AD" status. </t>
  </si>
  <si>
    <t>As per Citi record (dd/mm/yyyy) format</t>
  </si>
  <si>
    <t>Remarks</t>
  </si>
  <si>
    <t>*Please write your name as per latest E-Aadhar card compulsorily.
*Please note we will not be able to create the UAN or link your existing UAN if you do not mention your name as per latest E-Aadhar. This will have impact on your PF remittance and result into non remittance of Provident Fund for you, which will be highlighted to Citi Governance team and your Business Unit Head as statutory breach.</t>
  </si>
  <si>
    <r>
      <rPr>
        <b/>
        <sz val="12"/>
        <color theme="1"/>
        <rFont val="Calibri"/>
        <family val="2"/>
        <scheme val="minor"/>
      </rPr>
      <t>Please Download updated e-Aadhaar from following website https://myaadhaar.uidai.gov.in/genricDownloadAadhaar and follow below notes to avoid non remittance.</t>
    </r>
    <r>
      <rPr>
        <sz val="12"/>
        <color theme="1"/>
        <rFont val="Calibri"/>
        <family val="2"/>
        <scheme val="minor"/>
      </rPr>
      <t xml:space="preserve">
*Please write your date of Birth as per latest E-Aadhar card compulsorily.
*Please note we will not be able to create the UAN or link your existing UAN if you do not mention your date of birth as per latest E-Aadhar. This will have impact on your PF remittance and result into non remittance of Provident Fund for you, which will be highlighted to Citi Governance team and your Business Unit Head as statutory breach.</t>
    </r>
  </si>
  <si>
    <r>
      <rPr>
        <b/>
        <sz val="12"/>
        <color theme="1"/>
        <rFont val="Calibri"/>
        <family val="2"/>
        <scheme val="minor"/>
      </rPr>
      <t>Please follow below note:-</t>
    </r>
    <r>
      <rPr>
        <sz val="12"/>
        <color theme="1"/>
        <rFont val="Calibri"/>
        <family val="2"/>
        <scheme val="minor"/>
      </rPr>
      <t xml:space="preserve">
*Please note if DOJ declared by you in form 11 mismatched with payroll DOJ, your DOJ with payroll will be deemed final DOJ to update in EPFO system since salary and benefit processing are done based on payroll records  </t>
    </r>
  </si>
  <si>
    <t>As per updated E-AADHAR (Download updated e-Aadhar from following website https://myaadhaar.uidai.gov.in/genricDownloadAadhaar)</t>
  </si>
  <si>
    <t>Please follow below note:-
If your Previous company was deducting Provident fund (PF) from your salary then select “Yes” – if Not then select "No". 
Please do check your previous pay slip for correct  information  while filling up the details.</t>
  </si>
  <si>
    <r>
      <rPr>
        <b/>
        <sz val="12"/>
        <color theme="1"/>
        <rFont val="Calibri"/>
        <family val="2"/>
        <scheme val="minor"/>
      </rPr>
      <t xml:space="preserve">Please follow below note:-
</t>
    </r>
    <r>
      <rPr>
        <sz val="12"/>
        <color theme="1"/>
        <rFont val="Calibri"/>
        <family val="2"/>
        <scheme val="minor"/>
      </rPr>
      <t>First 5 are alphabets then next 4 are numeric and last one is alphabet. The remark would appear in AD column “ PAN_VALIDATION “.</t>
    </r>
  </si>
  <si>
    <r>
      <rPr>
        <b/>
        <sz val="12"/>
        <color theme="1"/>
        <rFont val="Calibri"/>
        <family val="2"/>
        <scheme val="minor"/>
      </rPr>
      <t>Please refer below notes carefully as most of the employee make mistake in this section:-</t>
    </r>
    <r>
      <rPr>
        <sz val="12"/>
        <color theme="1"/>
        <rFont val="Calibri"/>
        <family val="2"/>
        <scheme val="minor"/>
      </rPr>
      <t xml:space="preserve">
1-  If you have withdrawn your PF &amp; Pension both with previous employer and declared same UAN with Citi to start PF deduction, then select "NO" compulsorily 
2. If your Previous company was deducting pension (EPS) under this scheme then "YES" else "No". 
</t>
    </r>
    <r>
      <rPr>
        <b/>
        <sz val="12"/>
        <color theme="1"/>
        <rFont val="Calibri"/>
        <family val="2"/>
        <scheme val="minor"/>
      </rPr>
      <t>Note :</t>
    </r>
    <r>
      <rPr>
        <sz val="12"/>
        <color theme="1"/>
        <rFont val="Calibri"/>
        <family val="2"/>
        <scheme val="minor"/>
      </rPr>
      <t xml:space="preserve"> Download EPF passbook from PF portal and check the previous EPS status from below web link' "</t>
    </r>
    <r>
      <rPr>
        <b/>
        <u/>
        <sz val="12"/>
        <color theme="1"/>
        <rFont val="Calibri"/>
        <family val="2"/>
        <scheme val="minor"/>
      </rPr>
      <t>https://passbook.epfindia.gov.in/Member Passbook/Login</t>
    </r>
    <r>
      <rPr>
        <b/>
        <sz val="12"/>
        <color theme="1"/>
        <rFont val="Calibri"/>
        <family val="2"/>
        <scheme val="minor"/>
      </rPr>
      <t>"</t>
    </r>
  </si>
  <si>
    <t xml:space="preserve">
Please note ,If you provide incorrect information , then Citi as employer will not be accountable for future repercussions on your PF &amp; EPS transfer in and out , PF &amp; Pension withdrawal , hence make sure correct details are filled in  before submitting form with us.
Note : Download EPF passbook from PF portal and check the previous EPS status from below web link' "https://passbook.epfindia.gov.in/Member Passbook/Login" and submit the details accordingly</t>
  </si>
  <si>
    <t xml:space="preserve">Please note ,If you provide incorrect information , then Citi as employer will not be accountable for future repercussions on your PF transfer in and out , PF withdrawal , hence make sure correct details are filled in before submitting form with us. </t>
  </si>
  <si>
    <t>12 Numerical Digits to be mentioned - (you will get from previous employer Salary Slip) if applicable.</t>
  </si>
  <si>
    <t>* Name as per E-Aadhaar Please refer notes tab row 5</t>
  </si>
  <si>
    <t xml:space="preserve"> *Please refer notes tab row 9</t>
  </si>
  <si>
    <t xml:space="preserve">First 5 are alphabets then next 4 are numeric and last one is alphabet. The remark would appear in AD column “ PAN_VALIDATION “. If this is ok then proceed </t>
  </si>
  <si>
    <t xml:space="preserve"> *Please refer notes tab row 11</t>
  </si>
  <si>
    <t xml:space="preserve"> *Please refer notes tab row 13</t>
  </si>
  <si>
    <r>
      <rPr>
        <b/>
        <sz val="12"/>
        <color theme="1"/>
        <rFont val="Calibri"/>
        <family val="2"/>
        <scheme val="minor"/>
      </rPr>
      <t>Please follow below note:-
*</t>
    </r>
    <r>
      <rPr>
        <sz val="12"/>
        <color theme="1"/>
        <rFont val="Calibri"/>
        <family val="2"/>
        <scheme val="minor"/>
      </rPr>
      <t>Please note we will not be able to create the UAN or link your existing UAN if you do not mention your Aadhar number as per latest E-Aadhar. This will have impact on your PF remittance and result into non remittance of Provident Fund for you, which will be highlighted to Citi Governance team and your Business Unit Head as statutory breach.
Download updated e-Aadhaar from following website https://myaadhaar.uidai.gov.in/genricDownloadAadhaar</t>
    </r>
  </si>
  <si>
    <t xml:space="preserve"> *Please refer notes tab row 15</t>
  </si>
  <si>
    <t>10 Numerical Digits - Number should be linked with E Aadhar card and PAN</t>
  </si>
  <si>
    <t xml:space="preserve"> *Please refer notes tab row 16</t>
  </si>
  <si>
    <t>1. If you are holding Indian passport with nationality as “INDIAN” then select “NO”
2. If you are not holding any passport and you are citizen of India then select “NO”
3. If you are holding other than Indian country passport and nationality is other than “INDIAN” then select “YES”</t>
  </si>
  <si>
    <t>if " Yes "Please do share your passport and OCI copy on email along with excel form 11 format, else your form 11 will be rejected by HGS team without information</t>
  </si>
  <si>
    <t>Passport Issuing Country</t>
  </si>
  <si>
    <t xml:space="preserve"> *Please refer notes tab row 17</t>
  </si>
  <si>
    <t xml:space="preserve"> *Please refer notes tab row 18
* If  nationality is other than Indian, please share passport &amp; OCI copy and fill details in coumn from T to AA</t>
  </si>
  <si>
    <t>Even if your Father/Husband Name is not mentioned in Aadhar, then also its mandatory to mention the Father/Husband name</t>
  </si>
  <si>
    <t>Name of the member</t>
  </si>
  <si>
    <t>Father's Name</t>
  </si>
  <si>
    <t>Spouse's Name</t>
  </si>
  <si>
    <t>Gender: (Male/Female/Transgender)</t>
  </si>
  <si>
    <t>Marital Status: (Married/Unmarried/Widow/Widower/Divorcee)</t>
  </si>
  <si>
    <t>(a) Email ID:</t>
  </si>
  <si>
    <t>(b) Mobile No.:</t>
  </si>
  <si>
    <t>Present employment details:</t>
  </si>
  <si>
    <t>Date of joining in the current establishment (DD/MM/YYYY)</t>
  </si>
  <si>
    <t>a) Bank Account No.:</t>
  </si>
  <si>
    <t>b) IFSC Code of the branch:</t>
  </si>
  <si>
    <t>c) AADHAR Number</t>
  </si>
  <si>
    <t>d) Permanent Account Number (PAN), if available</t>
  </si>
  <si>
    <t>Whether earlier a member of Employees' Pension Scheme, 1995</t>
  </si>
  <si>
    <t>Previous employment details: [if Yes to 9 AND/OR 10 above] - Un-exempted</t>
  </si>
  <si>
    <t>Establishment
Name &amp; Address</t>
  </si>
  <si>
    <t>Universal
Account
Number</t>
  </si>
  <si>
    <t>PF Account
Number</t>
  </si>
  <si>
    <t>PPO Number
(if issued)</t>
  </si>
  <si>
    <t>Non Contributory
Period
(NCP) Days</t>
  </si>
  <si>
    <r>
      <t xml:space="preserve">Date of Birth: </t>
    </r>
    <r>
      <rPr>
        <b/>
        <sz val="9"/>
        <color theme="1"/>
        <rFont val="Times New Roman"/>
        <family val="1"/>
      </rPr>
      <t>(DD/MM/YYYY)</t>
    </r>
  </si>
  <si>
    <r>
      <rPr>
        <b/>
        <sz val="9"/>
        <color theme="1"/>
        <rFont val="Times New Roman"/>
        <family val="1"/>
      </rPr>
      <t>KYC Details:</t>
    </r>
    <r>
      <rPr>
        <sz val="9"/>
        <color theme="1"/>
        <rFont val="Times New Roman"/>
        <family val="1"/>
      </rPr>
      <t xml:space="preserve"> (attach self attested copies of following KYCs)</t>
    </r>
  </si>
  <si>
    <t>Scheme Certificate No.
(if issued)</t>
  </si>
  <si>
    <t>Previous employment details: [if Yes to 9 AND/OR 10 above] - exempted Trusts</t>
  </si>
  <si>
    <t>Member EPS A/c Number</t>
  </si>
  <si>
    <t>Name &amp; Address of the Trust</t>
  </si>
  <si>
    <r>
      <t xml:space="preserve">Date of joining
</t>
    </r>
    <r>
      <rPr>
        <sz val="7"/>
        <color theme="1"/>
        <rFont val="Times New Roman"/>
        <family val="1"/>
      </rPr>
      <t>(DD/MM/YYYY)</t>
    </r>
  </si>
  <si>
    <r>
      <t xml:space="preserve">Date of exit
</t>
    </r>
    <r>
      <rPr>
        <sz val="7"/>
        <color theme="1"/>
        <rFont val="Times New Roman"/>
        <family val="1"/>
      </rPr>
      <t>(DD/MM/YYYY)</t>
    </r>
  </si>
  <si>
    <t>b) if Yes, State country of origin (India/Name of other Country)</t>
  </si>
  <si>
    <t>c) Passport Number</t>
  </si>
  <si>
    <t>d) Validity of passport [(DD/MM/YYYY) to (DD/MM/YYYY)]</t>
  </si>
  <si>
    <t>UNDERTAKING</t>
  </si>
  <si>
    <t>1) Certified that the particulars are true to the best of my knowledge.</t>
  </si>
  <si>
    <t>3) Kindly transfer the funds and service details, if applicable, from the previous PF account as declared above to the present P.F. account as I am an Aadhar verified employee in my previous PF Account.*</t>
  </si>
  <si>
    <t>2) I authorize EPFO to use my Aadhar for verification/authentication/e-KYC purpose for service delivery.</t>
  </si>
  <si>
    <t>4) In case of changes in above details, the same will be intimated to employer at the earliest.</t>
  </si>
  <si>
    <t>Date:</t>
  </si>
  <si>
    <t>Place:</t>
  </si>
  <si>
    <t>Signature of Member</t>
  </si>
  <si>
    <t>Whether earlier a member of Employees' Provident Fund Scheme, 1952.</t>
  </si>
  <si>
    <t>Composite Declaration Form-11</t>
  </si>
  <si>
    <t>(To be retained by the employer for future reference)</t>
  </si>
  <si>
    <t>EMPLOYEES' PROVIDENT FUND ORGANISATION</t>
  </si>
  <si>
    <t>Employees' Pension Scheme, 1995 (Paragraph 24)</t>
  </si>
  <si>
    <t>Employees' Provident Funds scheme, 1952 (Paragraph 34 &amp; 57) &amp;</t>
  </si>
  <si>
    <t>(Declaration by a person taking up employment in any establishment on which EPF Scheme, 1952 and/or EPS, 1995 is applicable)</t>
  </si>
  <si>
    <t>GEID:</t>
  </si>
  <si>
    <t>a) International Worker: (YES/NO)</t>
  </si>
  <si>
    <t>DECLARATION BY PRESENT EMPLOYER</t>
  </si>
  <si>
    <t>The KYC details of the above member in the UAN database</t>
  </si>
  <si>
    <t>Have not been uploaded</t>
  </si>
  <si>
    <t>Have been uploaded but not approved</t>
  </si>
  <si>
    <t>Have been uploaded and approved with DSC/e-sign.</t>
  </si>
  <si>
    <t>C. In case the person was earlier a member of EPF Scheme, 1952 and EPS, 1995:</t>
  </si>
  <si>
    <t>The KYC details of the above member in the UAN database have been approved with E-sign/Digital Signature Certificate and transfer request has been generated on portal.</t>
  </si>
  <si>
    <t>The previous Account of the member is not Aadhar verified and hence physical transfer form shall be initiated.</t>
  </si>
  <si>
    <t>Signature of Employer with Seal of Establisbment</t>
  </si>
  <si>
    <t>*Auto transfer of previous PF account would be possible in respect of Aadhar verified employees only. Other employees are requested to file physical claim (Form-13) for transfer of account from the previous establishment.</t>
  </si>
  <si>
    <t>A. The member Mr/Ms/Mrs ….....................................has Joined on …..............................and has been…......................................</t>
  </si>
  <si>
    <t>alloted PF no…......................................................and UAN….....................................................</t>
  </si>
  <si>
    <r>
      <t xml:space="preserve">B. In case the person was earlier not a member of EPF Scheme, 1952 and EPS, 1995:     </t>
    </r>
    <r>
      <rPr>
        <b/>
        <sz val="9"/>
        <color theme="1"/>
        <rFont val="Arial"/>
        <family val="2"/>
      </rPr>
      <t>O</t>
    </r>
    <r>
      <rPr>
        <b/>
        <sz val="9"/>
        <color theme="1"/>
        <rFont val="Times New Roman"/>
        <family val="1"/>
      </rPr>
      <t xml:space="preserve"> Please Tick the Appropriate Option:</t>
    </r>
  </si>
  <si>
    <r>
      <rPr>
        <b/>
        <sz val="9"/>
        <color theme="1"/>
        <rFont val="Arial"/>
        <family val="2"/>
      </rPr>
      <t>O</t>
    </r>
    <r>
      <rPr>
        <b/>
        <sz val="9"/>
        <color theme="1"/>
        <rFont val="Times New Roman"/>
        <family val="1"/>
      </rPr>
      <t xml:space="preserve"> Please Tick the Appropriate Option:-</t>
    </r>
  </si>
  <si>
    <t>STEPS TO GENERATE/ACTIVATE UAN THROUGH UMANG APP</t>
  </si>
  <si>
    <t>Mandatory Things &amp; Apps – Before starting:</t>
  </si>
  <si>
    <t>Step-by-Step Process:</t>
  </si>
  <si>
    <r>
      <t>·</t>
    </r>
    <r>
      <rPr>
        <sz val="7"/>
        <color theme="1"/>
        <rFont val="Times New Roman"/>
        <family val="1"/>
      </rPr>
      <t xml:space="preserve">         </t>
    </r>
    <r>
      <rPr>
        <sz val="10"/>
        <color theme="1"/>
        <rFont val="Aptos Display"/>
        <family val="2"/>
      </rPr>
      <t>Open UMANG App</t>
    </r>
  </si>
  <si>
    <r>
      <t>·</t>
    </r>
    <r>
      <rPr>
        <sz val="7"/>
        <color theme="1"/>
        <rFont val="Times New Roman"/>
        <family val="1"/>
      </rPr>
      <t xml:space="preserve">         </t>
    </r>
    <r>
      <rPr>
        <sz val="10"/>
        <color theme="1"/>
        <rFont val="Aptos Display"/>
        <family val="2"/>
      </rPr>
      <t>Search for “EPFO” in the app.</t>
    </r>
  </si>
  <si>
    <r>
      <t>·</t>
    </r>
    <r>
      <rPr>
        <sz val="7"/>
        <color theme="1"/>
        <rFont val="Times New Roman"/>
        <family val="1"/>
      </rPr>
      <t xml:space="preserve">         </t>
    </r>
    <r>
      <rPr>
        <sz val="10"/>
        <color theme="1"/>
        <rFont val="Aptos Display"/>
        <family val="2"/>
      </rPr>
      <t>Select “UAN Allotment and Activation”.</t>
    </r>
  </si>
  <si>
    <r>
      <t>·</t>
    </r>
    <r>
      <rPr>
        <sz val="7"/>
        <color theme="1"/>
        <rFont val="Times New Roman"/>
        <family val="1"/>
      </rPr>
      <t xml:space="preserve">         </t>
    </r>
    <r>
      <rPr>
        <sz val="10"/>
        <color theme="1"/>
        <rFont val="Aptos Display"/>
        <family val="2"/>
      </rPr>
      <t>The app will redirect to the Aadhaar Face RD App.</t>
    </r>
  </si>
  <si>
    <r>
      <t>·</t>
    </r>
    <r>
      <rPr>
        <sz val="7"/>
        <color theme="1"/>
        <rFont val="Times New Roman"/>
        <family val="1"/>
      </rPr>
      <t xml:space="preserve">         </t>
    </r>
    <r>
      <rPr>
        <sz val="10"/>
        <color theme="1"/>
        <rFont val="Aptos Display"/>
        <family val="2"/>
      </rPr>
      <t>Look into the camera to complete face scan.</t>
    </r>
  </si>
  <si>
    <r>
      <t>·</t>
    </r>
    <r>
      <rPr>
        <sz val="7"/>
        <color theme="1"/>
        <rFont val="Times New Roman"/>
        <family val="1"/>
      </rPr>
      <t xml:space="preserve">         </t>
    </r>
    <r>
      <rPr>
        <sz val="10"/>
        <color theme="1"/>
        <rFont val="Aptos Display"/>
        <family val="2"/>
      </rPr>
      <t>Use your UAN and temporary password to log in.</t>
    </r>
  </si>
  <si>
    <r>
      <t>·</t>
    </r>
    <r>
      <rPr>
        <sz val="7"/>
        <color theme="1"/>
        <rFont val="Times New Roman"/>
        <family val="1"/>
      </rPr>
      <t xml:space="preserve">         </t>
    </r>
    <r>
      <rPr>
        <sz val="10"/>
        <color theme="1"/>
        <rFont val="Aptos Display"/>
        <family val="2"/>
      </rPr>
      <t>Update your password and profile.</t>
    </r>
  </si>
  <si>
    <r>
      <t>·</t>
    </r>
    <r>
      <rPr>
        <sz val="7"/>
        <color theme="1"/>
        <rFont val="Times New Roman"/>
        <family val="1"/>
      </rPr>
      <t xml:space="preserve">         </t>
    </r>
    <r>
      <rPr>
        <sz val="10"/>
        <color theme="1"/>
        <rFont val="Aptos Display"/>
        <family val="2"/>
      </rPr>
      <t>Select “Know your UAN"</t>
    </r>
  </si>
  <si>
    <r>
      <t>·</t>
    </r>
    <r>
      <rPr>
        <sz val="7"/>
        <color theme="1"/>
        <rFont val="Times New Roman"/>
        <family val="1"/>
      </rPr>
      <t xml:space="preserve">         </t>
    </r>
    <r>
      <rPr>
        <sz val="10"/>
        <color theme="1"/>
        <rFont val="Aptos Display"/>
        <family val="2"/>
      </rPr>
      <t>Your UAN will be shown on the Screen</t>
    </r>
  </si>
  <si>
    <t>https://unifiedportal-mem.epfindia.gov.in/memberinterface/</t>
  </si>
  <si>
    <r>
      <t>·</t>
    </r>
    <r>
      <rPr>
        <sz val="7"/>
        <color theme="1"/>
        <rFont val="Times New Roman"/>
        <family val="1"/>
      </rPr>
      <t xml:space="preserve">         </t>
    </r>
    <r>
      <rPr>
        <sz val="10"/>
        <color theme="1"/>
        <rFont val="Aptos Display"/>
        <family val="2"/>
      </rPr>
      <t>Visit EPFO portal</t>
    </r>
  </si>
  <si>
    <r>
      <t>·</t>
    </r>
    <r>
      <rPr>
        <b/>
        <sz val="7"/>
        <color theme="6" tint="0.79998168889431442"/>
        <rFont val="Times New Roman"/>
        <family val="1"/>
      </rPr>
      <t xml:space="preserve">         </t>
    </r>
    <r>
      <rPr>
        <b/>
        <sz val="10"/>
        <color theme="6" tint="0.79998168889431442"/>
        <rFont val="Aptos Display"/>
        <family val="2"/>
      </rPr>
      <t>Smartphone with internet</t>
    </r>
  </si>
  <si>
    <r>
      <t>·</t>
    </r>
    <r>
      <rPr>
        <b/>
        <sz val="7"/>
        <color theme="6" tint="0.79998168889431442"/>
        <rFont val="Times New Roman"/>
        <family val="1"/>
      </rPr>
      <t xml:space="preserve">         </t>
    </r>
    <r>
      <rPr>
        <b/>
        <sz val="10"/>
        <color theme="6" tint="0.79998168889431442"/>
        <rFont val="Aptos Display"/>
        <family val="2"/>
      </rPr>
      <t>UMANG App installed (from Play Store or App Store)</t>
    </r>
  </si>
  <si>
    <r>
      <t>·</t>
    </r>
    <r>
      <rPr>
        <b/>
        <sz val="7"/>
        <color theme="6" tint="0.79998168889431442"/>
        <rFont val="Times New Roman"/>
        <family val="1"/>
      </rPr>
      <t xml:space="preserve">         </t>
    </r>
    <r>
      <rPr>
        <b/>
        <sz val="10"/>
        <color theme="6" tint="0.79998168889431442"/>
        <rFont val="Aptos Display"/>
        <family val="2"/>
      </rPr>
      <t>Aadhaar Face RD App installed</t>
    </r>
  </si>
  <si>
    <r>
      <t>·</t>
    </r>
    <r>
      <rPr>
        <b/>
        <sz val="7"/>
        <color theme="6" tint="0.79998168889431442"/>
        <rFont val="Times New Roman"/>
        <family val="1"/>
      </rPr>
      <t xml:space="preserve">         </t>
    </r>
    <r>
      <rPr>
        <b/>
        <sz val="10"/>
        <color theme="6" tint="0.79998168889431442"/>
        <rFont val="Aptos Display"/>
        <family val="2"/>
      </rPr>
      <t>Aadhaar-linked mobile number</t>
    </r>
  </si>
  <si>
    <r>
      <t>·</t>
    </r>
    <r>
      <rPr>
        <sz val="7"/>
        <color theme="1"/>
        <rFont val="Times New Roman"/>
        <family val="1"/>
      </rPr>
      <t xml:space="preserve">         </t>
    </r>
    <r>
      <rPr>
        <sz val="10"/>
        <color theme="1"/>
        <rFont val="Aptos Display"/>
        <family val="2"/>
      </rPr>
      <t>Add or Update KYC details (Bank, PAN or Passport)</t>
    </r>
  </si>
  <si>
    <r>
      <t>·</t>
    </r>
    <r>
      <rPr>
        <sz val="7"/>
        <color theme="1"/>
        <rFont val="Times New Roman"/>
        <family val="1"/>
      </rPr>
      <t xml:space="preserve">         </t>
    </r>
    <r>
      <rPr>
        <sz val="10"/>
        <color theme="1"/>
        <rFont val="Aptos Display"/>
        <family val="2"/>
      </rPr>
      <t>Complete E-Nomination or else UAN may block as per EPFO rules.</t>
    </r>
  </si>
  <si>
    <r>
      <t>·</t>
    </r>
    <r>
      <rPr>
        <sz val="7"/>
        <color theme="1"/>
        <rFont val="Times New Roman"/>
        <family val="1"/>
      </rPr>
      <t xml:space="preserve">         </t>
    </r>
    <r>
      <rPr>
        <sz val="10"/>
        <color theme="1"/>
        <rFont val="Aptos Display"/>
        <family val="2"/>
      </rPr>
      <t>Enter Aadhaar Details &amp; mobile number linked with Aadhaar.</t>
    </r>
  </si>
  <si>
    <t>Existing UAN Activation (Not Activate Yet)</t>
  </si>
  <si>
    <r>
      <t>·</t>
    </r>
    <r>
      <rPr>
        <sz val="7"/>
        <color theme="1"/>
        <rFont val="Times New Roman"/>
        <family val="1"/>
      </rPr>
      <t xml:space="preserve">         </t>
    </r>
    <r>
      <rPr>
        <sz val="10"/>
        <color theme="1"/>
        <rFont val="Aptos Display"/>
        <family val="2"/>
      </rPr>
      <t>Select “UAN Activation”</t>
    </r>
  </si>
  <si>
    <r>
      <t>·</t>
    </r>
    <r>
      <rPr>
        <sz val="7"/>
        <color theme="1"/>
        <rFont val="Times New Roman"/>
        <family val="1"/>
      </rPr>
      <t xml:space="preserve">         </t>
    </r>
    <r>
      <rPr>
        <sz val="10"/>
        <color theme="1"/>
        <rFont val="Aptos Display"/>
        <family val="2"/>
      </rPr>
      <t>Provide UAN, Aadhaar, and mobile number</t>
    </r>
  </si>
  <si>
    <r>
      <t>·</t>
    </r>
    <r>
      <rPr>
        <sz val="7"/>
        <color theme="1"/>
        <rFont val="Times New Roman"/>
        <family val="1"/>
      </rPr>
      <t xml:space="preserve">         </t>
    </r>
    <r>
      <rPr>
        <sz val="10"/>
        <color theme="1"/>
        <rFont val="Aptos Display"/>
        <family val="2"/>
      </rPr>
      <t>Consent → OTP → Face scan</t>
    </r>
  </si>
  <si>
    <r>
      <t>·</t>
    </r>
    <r>
      <rPr>
        <sz val="7"/>
        <color theme="1"/>
        <rFont val="Times New Roman"/>
        <family val="1"/>
      </rPr>
      <t xml:space="preserve">         </t>
    </r>
    <r>
      <rPr>
        <sz val="10"/>
        <color theme="1"/>
        <rFont val="Aptos Display"/>
        <family val="2"/>
      </rPr>
      <t>Select from Aadhar/PAN/Member ID</t>
    </r>
  </si>
  <si>
    <r>
      <t>·</t>
    </r>
    <r>
      <rPr>
        <sz val="7"/>
        <color theme="1"/>
        <rFont val="Times New Roman"/>
        <family val="1"/>
      </rPr>
      <t xml:space="preserve">         </t>
    </r>
    <r>
      <rPr>
        <sz val="10"/>
        <color theme="1"/>
        <rFont val="Aptos Display"/>
        <family val="2"/>
      </rPr>
      <t>Enter the mobile number linked with Aadhar and the Captcha code - generate OTP</t>
    </r>
  </si>
  <si>
    <r>
      <t>·</t>
    </r>
    <r>
      <rPr>
        <sz val="7"/>
        <color theme="1"/>
        <rFont val="Times New Roman"/>
        <family val="1"/>
      </rPr>
      <t xml:space="preserve">         </t>
    </r>
    <r>
      <rPr>
        <sz val="10"/>
        <color theme="1"/>
        <rFont val="Aptos Display"/>
        <family val="2"/>
      </rPr>
      <t>Enter the OTP and Captcha again - Submit</t>
    </r>
  </si>
  <si>
    <r>
      <t>·</t>
    </r>
    <r>
      <rPr>
        <sz val="7"/>
        <color theme="1"/>
        <rFont val="Times New Roman"/>
        <family val="1"/>
      </rPr>
      <t xml:space="preserve">         </t>
    </r>
    <r>
      <rPr>
        <sz val="10"/>
        <color theme="1"/>
        <rFont val="Aptos Display"/>
        <family val="2"/>
      </rPr>
      <t>Enter Details as per Aadhar: Name, DOB</t>
    </r>
  </si>
  <si>
    <r>
      <t>·</t>
    </r>
    <r>
      <rPr>
        <sz val="7"/>
        <color theme="1"/>
        <rFont val="Times New Roman"/>
        <family val="1"/>
      </rPr>
      <t xml:space="preserve">         </t>
    </r>
    <r>
      <rPr>
        <sz val="10"/>
        <color theme="1"/>
        <rFont val="Aptos Display"/>
        <family val="2"/>
      </rPr>
      <t>Enter the selected ID number (e.g., Aadhaar number if Aadhaar is selected).</t>
    </r>
  </si>
  <si>
    <r>
      <t>·</t>
    </r>
    <r>
      <rPr>
        <sz val="7"/>
        <color theme="1"/>
        <rFont val="Times New Roman"/>
        <family val="1"/>
      </rPr>
      <t xml:space="preserve">         </t>
    </r>
    <r>
      <rPr>
        <sz val="10"/>
        <color theme="1"/>
        <rFont val="Aptos Display"/>
        <family val="2"/>
      </rPr>
      <t>Enter Captcha code and Submit</t>
    </r>
  </si>
  <si>
    <r>
      <t>·</t>
    </r>
    <r>
      <rPr>
        <sz val="7"/>
        <color theme="1"/>
        <rFont val="Times New Roman"/>
        <family val="1"/>
      </rPr>
      <t xml:space="preserve">         </t>
    </r>
    <r>
      <rPr>
        <sz val="10"/>
        <color theme="1"/>
        <rFont val="Aptos Display"/>
        <family val="2"/>
      </rPr>
      <t>Generate &amp; Enter OTP (accept the consent checkbox) - Submit</t>
    </r>
    <r>
      <rPr>
        <sz val="10"/>
        <color theme="1"/>
        <rFont val="Symbol"/>
        <family val="1"/>
        <charset val="2"/>
      </rPr>
      <t xml:space="preserve"> </t>
    </r>
  </si>
  <si>
    <r>
      <t>·</t>
    </r>
    <r>
      <rPr>
        <sz val="7"/>
        <color theme="1"/>
        <rFont val="Times New Roman"/>
        <family val="1"/>
      </rPr>
      <t xml:space="preserve">         </t>
    </r>
    <r>
      <rPr>
        <sz val="10"/>
        <color theme="1"/>
        <rFont val="Aptos Display"/>
        <family val="2"/>
      </rPr>
      <t>and You’ll receive the UAN via SMS on your registered mobile number.</t>
    </r>
  </si>
  <si>
    <r>
      <t>·</t>
    </r>
    <r>
      <rPr>
        <sz val="7"/>
        <color theme="1"/>
        <rFont val="Times New Roman"/>
        <family val="1"/>
      </rPr>
      <t xml:space="preserve">         </t>
    </r>
    <r>
      <rPr>
        <sz val="10"/>
        <color theme="1"/>
        <rFont val="Aptos Display"/>
        <family val="2"/>
      </rPr>
      <t>If no UAN exists for your Aadhaar, a new UAN will be allotted,</t>
    </r>
  </si>
  <si>
    <t>Update KYC, E-NOMINATION to EPFO portal</t>
  </si>
  <si>
    <r>
      <t>·</t>
    </r>
    <r>
      <rPr>
        <sz val="7"/>
        <color theme="1"/>
        <rFont val="Times New Roman"/>
        <family val="1"/>
      </rPr>
      <t xml:space="preserve">         </t>
    </r>
    <r>
      <rPr>
        <sz val="10"/>
        <color theme="1"/>
        <rFont val="Aptos Display"/>
        <family val="2"/>
      </rPr>
      <t>You will receive a temporary password via SMS;</t>
    </r>
  </si>
  <si>
    <r>
      <t>·</t>
    </r>
    <r>
      <rPr>
        <sz val="7"/>
        <color theme="1"/>
        <rFont val="Times New Roman"/>
        <family val="1"/>
      </rPr>
      <t xml:space="preserve">         </t>
    </r>
    <r>
      <rPr>
        <sz val="10"/>
        <color theme="1"/>
        <rFont val="Aptos Display"/>
        <family val="2"/>
      </rPr>
      <t>Your UAN is activated and your EPFO profile (photo &amp; address) gets updated</t>
    </r>
  </si>
  <si>
    <t>UAN NUMBER*</t>
  </si>
  <si>
    <r>
      <t xml:space="preserve">If you have a UAN from your previous employment - Please enter the 12-digit UAN exactly as mentioned in your previous employer’s pay slip.
OR
If you are a first-time EPFO member - Generate a new UAN – refer to the sheet "UAN_Process" for step-by-step instructions.
</t>
    </r>
    <r>
      <rPr>
        <b/>
        <sz val="11"/>
        <color theme="1"/>
        <rFont val="Calibri"/>
        <family val="2"/>
        <scheme val="minor"/>
      </rPr>
      <t xml:space="preserve">
Note: Do not generate a UAN if you fall under the International Worker (IW) category - holding passport other than Indian</t>
    </r>
  </si>
  <si>
    <r>
      <t>·</t>
    </r>
    <r>
      <rPr>
        <b/>
        <sz val="7"/>
        <color theme="6" tint="0.79998168889431442"/>
        <rFont val="Times New Roman"/>
        <family val="1"/>
      </rPr>
      <t xml:space="preserve">         </t>
    </r>
    <r>
      <rPr>
        <b/>
        <sz val="10"/>
        <color theme="6" tint="0.79998168889431442"/>
        <rFont val="Aptos Display"/>
        <family val="2"/>
      </rPr>
      <t>Laptop / Desktop / Smartphone with internet</t>
    </r>
  </si>
  <si>
    <t>Mandatory Things  – Before starting:</t>
  </si>
  <si>
    <r>
      <rPr>
        <b/>
        <sz val="12"/>
        <color theme="1"/>
        <rFont val="Calibri"/>
        <family val="2"/>
        <scheme val="minor"/>
      </rPr>
      <t xml:space="preserve">Please follow below note:-
</t>
    </r>
    <r>
      <rPr>
        <sz val="12"/>
        <color theme="1"/>
        <rFont val="Calibri"/>
        <family val="2"/>
        <scheme val="minor"/>
      </rPr>
      <t xml:space="preserve">As per new EPFO rules effective 1st August 2025, all new employees who are registering with EPFO for the first time must generate their own UAN.
The employer can no longer create UANs for employees.
Please follow the steps in the next sheet (UAN_process) to generate your UAN using your Aadhaar and mobile number.
</t>
    </r>
    <r>
      <rPr>
        <b/>
        <sz val="11"/>
        <color theme="1"/>
        <rFont val="Calibri"/>
        <family val="2"/>
        <scheme val="minor"/>
      </rPr>
      <t xml:space="preserve">
*Please note if you don't provide us UAN, it will have impact on your PF remittance and result into non remittance of Provident Fund for you, which will be highlighted to Citi Governance team and your Business Unit Head as statutory breach.</t>
    </r>
  </si>
  <si>
    <r>
      <t>UAN NUMBER</t>
    </r>
    <r>
      <rPr>
        <b/>
        <sz val="12"/>
        <color rgb="FFFF0000"/>
        <rFont val="Calibri"/>
        <family val="2"/>
        <scheme val="minor"/>
      </rPr>
      <t>*</t>
    </r>
  </si>
  <si>
    <t>You can enter the details in 3rd sheet with Name "Form 11 format"</t>
  </si>
  <si>
    <t>STEPS FOR EXISITNG UAN ACTIVATION THROUGH EPFO PORTAL</t>
  </si>
  <si>
    <r>
      <t>GEID</t>
    </r>
    <r>
      <rPr>
        <sz val="12"/>
        <color rgb="FFFF0000"/>
        <rFont val="Calibri"/>
        <family val="2"/>
        <scheme val="minor"/>
      </rPr>
      <t>*</t>
    </r>
    <r>
      <rPr>
        <b/>
        <sz val="12"/>
        <color theme="1"/>
        <rFont val="Calibri"/>
        <family val="2"/>
        <scheme val="minor"/>
      </rPr>
      <t xml:space="preserve">
(10 Digits)</t>
    </r>
  </si>
  <si>
    <r>
      <t>FATHER / HUSBAND  NAME</t>
    </r>
    <r>
      <rPr>
        <b/>
        <sz val="12"/>
        <color rgb="FFFF0000"/>
        <rFont val="Calibri"/>
        <family val="2"/>
        <scheme val="minor"/>
      </rPr>
      <t>*</t>
    </r>
    <r>
      <rPr>
        <b/>
        <sz val="12"/>
        <color theme="1"/>
        <rFont val="Calibri"/>
        <family val="2"/>
        <scheme val="minor"/>
      </rPr>
      <t xml:space="preserve">
(Any one)</t>
    </r>
  </si>
  <si>
    <t>Date of Joining
CSIPL</t>
  </si>
  <si>
    <t xml:space="preserve"> *Please refer notes tab row 12
(Pension eligibility Check)</t>
  </si>
  <si>
    <t xml:space="preserve"> *Please refer notes tab row 10
********
Enter date of joining with citi</t>
  </si>
  <si>
    <t>Afghanistan</t>
  </si>
  <si>
    <t>Albania</t>
  </si>
  <si>
    <t>Algeria</t>
  </si>
  <si>
    <t>Andorra</t>
  </si>
  <si>
    <t>Angola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</si>
  <si>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</si>
  <si>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</si>
  <si>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</si>
  <si>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</si>
  <si>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</si>
  <si>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</si>
  <si>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</si>
  <si>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</si>
  <si>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</si>
  <si>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</si>
  <si>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</si>
  <si>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</si>
  <si>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</si>
  <si>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</si>
  <si>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</si>
  <si>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</si>
  <si>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</si>
  <si>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</si>
  <si>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</si>
  <si>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</si>
  <si>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</si>
  <si>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</si>
  <si>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</si>
  <si>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</si>
  <si>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</si>
  <si>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Central African Republic</t>
  </si>
  <si>
    <t>Chad</t>
  </si>
  <si>
    <t>Chile</t>
  </si>
  <si>
    <t>China</t>
  </si>
  <si>
    <t>Colombia</t>
  </si>
  <si>
    <t>Comoros</t>
  </si>
  <si>
    <t>Costa Rica</t>
  </si>
  <si>
    <t>Croatia</t>
  </si>
  <si>
    <t>Cuba</t>
  </si>
  <si>
    <t>Cyprus</t>
  </si>
  <si>
    <t>Czech Republic</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</si>
  <si>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</si>
  <si>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</si>
  <si>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</si>
  <si>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</si>
  <si>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</si>
  <si>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</si>
  <si>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</si>
  <si>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</si>
  <si>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</si>
  <si>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</si>
  <si>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</si>
  <si>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</si>
  <si>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</si>
  <si>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</si>
  <si>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</si>
  <si>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</si>
  <si>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</si>
  <si>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</si>
  <si>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</si>
  <si>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</si>
  <si>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</si>
  <si>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</si>
  <si>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</si>
  <si>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</si>
  <si>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Guyana</t>
  </si>
  <si>
    <t>Haiti</t>
  </si>
  <si>
    <t>Honduras</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</si>
  <si>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</si>
  <si>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</si>
  <si>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</si>
  <si>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</si>
  <si>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</si>
  <si>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</si>
  <si>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</si>
  <si>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</si>
  <si>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</si>
  <si>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</si>
  <si>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</si>
  <si>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</si>
  <si>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</si>
  <si>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</si>
  <si>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</si>
  <si>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</si>
  <si>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</si>
  <si>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</si>
  <si>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</si>
  <si>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</si>
  <si>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</si>
  <si>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</si>
  <si>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</si>
  <si>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</si>
  <si>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</si>
  <si>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</si>
  <si>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</si>
  <si>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</si>
  <si>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</si>
  <si>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</si>
  <si>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</si>
  <si>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Mexico</t>
  </si>
  <si>
    <t>Mongolia</t>
  </si>
  <si>
    <t>Morocco</t>
  </si>
  <si>
    <t>Myanmar</t>
  </si>
  <si>
    <t>Namibia</t>
  </si>
  <si>
    <t>Nepal</t>
  </si>
  <si>
    <t>Netherlands</t>
  </si>
  <si>
    <t>New Zealand</t>
  </si>
  <si>
    <t>Nigeria</t>
  </si>
  <si>
    <t>North Korea</t>
  </si>
  <si>
    <t>Norway</t>
  </si>
  <si>
    <t>Oman</t>
  </si>
  <si>
    <t>Pakistan</t>
  </si>
  <si>
    <t>Panama</t>
  </si>
  <si>
    <t>Peru</t>
  </si>
  <si>
    <t>Philippines</t>
  </si>
  <si>
    <t>Poland</t>
  </si>
  <si>
    <t>Portugal</t>
  </si>
  <si>
    <t>Qatar</t>
  </si>
  <si>
    <t>Romania</t>
  </si>
  <si>
    <t>Russia</t>
  </si>
  <si>
    <t>Rwanda</t>
  </si>
  <si>
    <t>Saudi Arabia</t>
  </si>
  <si>
    <t>Senegal</t>
  </si>
  <si>
    <t>Serbia</t>
  </si>
  <si>
    <t>Singapore</t>
  </si>
  <si>
    <t>Slovakia</t>
  </si>
  <si>
    <t>Slovenia</t>
  </si>
  <si>
    <t>Somalia</t>
  </si>
  <si>
    <t>South Africa</t>
  </si>
  <si>
    <t>South Korea</t>
  </si>
  <si>
    <t>Spain</t>
  </si>
  <si>
    <t>Sri Lanka</t>
  </si>
  <si>
    <t>Sudan</t>
  </si>
  <si>
    <t>Sweden</t>
  </si>
  <si>
    <t>Switzerland</t>
  </si>
  <si>
    <t>Syria</t>
  </si>
  <si>
    <t>Taiwan</t>
  </si>
  <si>
    <t>Tajikistan</t>
  </si>
  <si>
    <t>Tanzania</t>
  </si>
  <si>
    <t>Thailand</t>
  </si>
  <si>
    <t>Turkey</t>
  </si>
  <si>
    <t>Uganda</t>
  </si>
  <si>
    <t>Ukraine</t>
  </si>
  <si>
    <t>United Arab Emirates</t>
  </si>
  <si>
    <t>United Kingdom</t>
  </si>
  <si>
    <t>United States</t>
  </si>
  <si>
    <t>Uruguay</t>
  </si>
  <si>
    <t>Uzbekistan</t>
  </si>
  <si>
    <t>Venezuela</t>
  </si>
  <si>
    <t>Vietnam</t>
  </si>
  <si>
    <t>Yemen</t>
  </si>
  <si>
    <t>Zambia</t>
  </si>
  <si>
    <t>Zimbabwe</t>
  </si>
  <si>
    <t>Indian</t>
  </si>
  <si>
    <t>Country</t>
  </si>
  <si>
    <t>Nationality</t>
  </si>
  <si>
    <t>Afghan</t>
  </si>
  <si>
    <t>Albanian</t>
  </si>
  <si>
    <t>Algerian</t>
  </si>
  <si>
    <t>Andorran</t>
  </si>
  <si>
    <t>Angolan</t>
  </si>
  <si>
    <t>Argentine / Argentinian</t>
  </si>
  <si>
    <t>Armenian</t>
  </si>
  <si>
    <t>Australian</t>
  </si>
  <si>
    <t>Austrian</t>
  </si>
  <si>
    <t>Azerbaijani</t>
  </si>
  <si>
    <t>Bahamian</t>
  </si>
  <si>
    <t>Bahraini</t>
  </si>
  <si>
    <t>Bangladeshi</t>
  </si>
  <si>
    <t>Barbadian</t>
  </si>
  <si>
    <t>Belarusian</t>
  </si>
  <si>
    <t>Belgian</t>
  </si>
  <si>
    <t>Belizean</t>
  </si>
  <si>
    <t>Beninese</t>
  </si>
  <si>
    <t>Bhutanese</t>
  </si>
  <si>
    <t>Bolivian</t>
  </si>
  <si>
    <t>Bosnian</t>
  </si>
  <si>
    <t>Motswana</t>
  </si>
  <si>
    <t>Brazilian</t>
  </si>
  <si>
    <t>Bruneian</t>
  </si>
  <si>
    <t>Bulgarian</t>
  </si>
  <si>
    <t>Burkinabe</t>
  </si>
  <si>
    <t>Burundian</t>
  </si>
  <si>
    <t>Cambodian</t>
  </si>
  <si>
    <t>Cameroonian</t>
  </si>
  <si>
    <t>Canadian</t>
  </si>
  <si>
    <t>Cape Verde</t>
  </si>
  <si>
    <t>Cape Verdean</t>
  </si>
  <si>
    <t>Central African</t>
  </si>
  <si>
    <t>Chadian</t>
  </si>
  <si>
    <t>Chilean</t>
  </si>
  <si>
    <t>Chinese</t>
  </si>
  <si>
    <t>Colombian</t>
  </si>
  <si>
    <t>Comoran</t>
  </si>
  <si>
    <t>Costa Rican</t>
  </si>
  <si>
    <t>Croatian</t>
  </si>
  <si>
    <t>Cuban</t>
  </si>
  <si>
    <t>Cypriot</t>
  </si>
  <si>
    <t>Czech</t>
  </si>
  <si>
    <t>Danish</t>
  </si>
  <si>
    <t>Djiboutian</t>
  </si>
  <si>
    <t>Dominican</t>
  </si>
  <si>
    <t>Ecuadorian</t>
  </si>
  <si>
    <t>Egyptian</t>
  </si>
  <si>
    <t>Salvadoran</t>
  </si>
  <si>
    <t>Equatorial Guinean</t>
  </si>
  <si>
    <t>Eritrean</t>
  </si>
  <si>
    <t>Estonian</t>
  </si>
  <si>
    <t>Swazi</t>
  </si>
  <si>
    <t>Ethiopian</t>
  </si>
  <si>
    <t>Fijian</t>
  </si>
  <si>
    <t>Finnish</t>
  </si>
  <si>
    <t>French</t>
  </si>
  <si>
    <t>Gabonese</t>
  </si>
  <si>
    <t>Gambian</t>
  </si>
  <si>
    <t>Georgian</t>
  </si>
  <si>
    <t>German</t>
  </si>
  <si>
    <t>Ghanaian</t>
  </si>
  <si>
    <t>Greek</t>
  </si>
  <si>
    <t>Grenadian</t>
  </si>
  <si>
    <t>Guatemalan</t>
  </si>
  <si>
    <t>Guinean</t>
  </si>
  <si>
    <t>Guyanese</t>
  </si>
  <si>
    <t>Haitian</t>
  </si>
  <si>
    <t>Honduran</t>
  </si>
  <si>
    <t>Hungarian</t>
  </si>
  <si>
    <t>Icelandic</t>
  </si>
  <si>
    <t>Indonesian</t>
  </si>
  <si>
    <t>Iranian</t>
  </si>
  <si>
    <t>Iraqi</t>
  </si>
  <si>
    <t>Irish</t>
  </si>
  <si>
    <t>Israeli</t>
  </si>
  <si>
    <t>Italian</t>
  </si>
  <si>
    <t>Jamaican</t>
  </si>
  <si>
    <t>Japanese</t>
  </si>
  <si>
    <t>Jordanian</t>
  </si>
  <si>
    <t>Kazakh</t>
  </si>
  <si>
    <t>Kenyan</t>
  </si>
  <si>
    <t>Kuwaiti</t>
  </si>
  <si>
    <t>Kyrgyz</t>
  </si>
  <si>
    <t>Laotian</t>
  </si>
  <si>
    <t>Latvian</t>
  </si>
  <si>
    <t>Lebanese</t>
  </si>
  <si>
    <t>Basotho</t>
  </si>
  <si>
    <t>Liberian</t>
  </si>
  <si>
    <t>Libyan</t>
  </si>
  <si>
    <t>Liechtensteiner</t>
  </si>
  <si>
    <t>Lithuanian</t>
  </si>
  <si>
    <t>Luxembourger</t>
  </si>
  <si>
    <t>Malagasy</t>
  </si>
  <si>
    <t>Malawian</t>
  </si>
  <si>
    <t>Malaysian</t>
  </si>
  <si>
    <t>Maldivian</t>
  </si>
  <si>
    <t>Malian</t>
  </si>
  <si>
    <t>Maltese</t>
  </si>
  <si>
    <t>Mexican</t>
  </si>
  <si>
    <t>Mongolian</t>
  </si>
  <si>
    <t>Moroccan</t>
  </si>
  <si>
    <t>Burmese</t>
  </si>
  <si>
    <t>Namibian</t>
  </si>
  <si>
    <t>Nepali</t>
  </si>
  <si>
    <t>Dutch</t>
  </si>
  <si>
    <t>New Zealander</t>
  </si>
  <si>
    <t>Nigerian</t>
  </si>
  <si>
    <t>North Korean</t>
  </si>
  <si>
    <t>Norwegian</t>
  </si>
  <si>
    <t>Omani</t>
  </si>
  <si>
    <t>Pakistani</t>
  </si>
  <si>
    <t>Panamanian</t>
  </si>
  <si>
    <t>Peruvian</t>
  </si>
  <si>
    <t>Filipino</t>
  </si>
  <si>
    <t>Polish</t>
  </si>
  <si>
    <t>Portuguese</t>
  </si>
  <si>
    <t>Qatari</t>
  </si>
  <si>
    <t>Romanian</t>
  </si>
  <si>
    <t>Russian</t>
  </si>
  <si>
    <t>Rwandan</t>
  </si>
  <si>
    <t>Saudi / Saudi Arabian</t>
  </si>
  <si>
    <t>Senegalese</t>
  </si>
  <si>
    <t>Serbian</t>
  </si>
  <si>
    <t>Singaporean</t>
  </si>
  <si>
    <t>Slovak</t>
  </si>
  <si>
    <t>Slovenian</t>
  </si>
  <si>
    <t>Somali</t>
  </si>
  <si>
    <t>South African</t>
  </si>
  <si>
    <t>South Korean</t>
  </si>
  <si>
    <t>Spanish</t>
  </si>
  <si>
    <t>Sri Lankan</t>
  </si>
  <si>
    <t>Sudanese</t>
  </si>
  <si>
    <t>Swedish</t>
  </si>
  <si>
    <t>Swiss</t>
  </si>
  <si>
    <t>Syrian</t>
  </si>
  <si>
    <t>Taiwanese</t>
  </si>
  <si>
    <t>Tajik</t>
  </si>
  <si>
    <t>Tanzanian</t>
  </si>
  <si>
    <t>Thai</t>
  </si>
  <si>
    <t>Turkish</t>
  </si>
  <si>
    <t>Ugandan</t>
  </si>
  <si>
    <t>Ukrainian</t>
  </si>
  <si>
    <t>American</t>
  </si>
  <si>
    <t>Uruguayan</t>
  </si>
  <si>
    <t>Uzbek</t>
  </si>
  <si>
    <t>Venezuelan</t>
  </si>
  <si>
    <t>Vietnamese</t>
  </si>
  <si>
    <t>Yemeni</t>
  </si>
  <si>
    <t>Zambian</t>
  </si>
  <si>
    <t>Zimbabwean</t>
  </si>
  <si>
    <t>UAE - Emirati</t>
  </si>
  <si>
    <t>British - UK</t>
  </si>
  <si>
    <t>Note: If the above process is not working on iOS mobile, please try using an Android mobile device.</t>
  </si>
  <si>
    <t>*If nationality Is other than Indian then above column should be mandatory*
Please share a copy of the international passport and OCI (if available) with us
Do not generate a NEW UAN if you are holding an International Passport</t>
  </si>
  <si>
    <t>Nisha Nikhil Kadam</t>
  </si>
  <si>
    <t>Nikhil Maruti Kadam</t>
  </si>
  <si>
    <t>Husband</t>
  </si>
  <si>
    <t>Married</t>
  </si>
  <si>
    <t>Yes</t>
  </si>
  <si>
    <t>CRDPM5687D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</si>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</sst>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m\-yyyy"/>
  </numFmts>
  <fonts count="46" x14ac:knownFonts="1">
    <font>
      <sz val="11"/>
      <color theme="1"/>
      <name val="Calibri"/>
      <family val="2"/>
      <scheme val="minor"/>
    </font>
    <font>
      <sz val="11"/>
      <color rgb="FF000000"/>
      <name val="Calibri"/>
      <family val="2"/>
    </font>
    <font>
      <sz val="11"/>
      <color indexed="8"/>
      <name val="Calibri"/>
      <family val="2"/>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sz val="10"/>
      <color rgb="FF996600"/>
      <name val="Calibri"/>
      <family val="2"/>
    </font>
    <font>
      <sz val="10"/>
      <color rgb="FF333333"/>
      <name val="Calibri"/>
      <family val="2"/>
    </font>
    <font>
      <sz val="12"/>
      <color theme="1"/>
      <name val="Calibri"/>
      <family val="2"/>
      <scheme val="minor"/>
    </font>
    <font>
      <b/>
      <sz val="12"/>
      <color rgb="FFFF0000"/>
      <name val="Calibri"/>
      <family val="2"/>
      <scheme val="minor"/>
    </font>
    <font>
      <b/>
      <sz val="12"/>
      <color theme="1"/>
      <name val="Calibri"/>
      <family val="2"/>
      <scheme val="minor"/>
    </font>
    <font>
      <sz val="12"/>
      <color rgb="FFFF0000"/>
      <name val="Calibri"/>
      <family val="2"/>
      <scheme val="minor"/>
    </font>
    <font>
      <b/>
      <u/>
      <sz val="12"/>
      <color theme="1"/>
      <name val="Calibri"/>
      <family val="2"/>
      <scheme val="minor"/>
    </font>
    <font>
      <b/>
      <sz val="13"/>
      <color theme="1"/>
      <name val="Calibri"/>
      <family val="2"/>
      <scheme val="minor"/>
    </font>
    <font>
      <sz val="12"/>
      <color theme="0"/>
      <name val="Calibri"/>
      <family val="2"/>
      <scheme val="minor"/>
    </font>
    <font>
      <sz val="9"/>
      <color theme="1"/>
      <name val="Times New Roman"/>
      <family val="1"/>
    </font>
    <font>
      <b/>
      <sz val="9"/>
      <color theme="1"/>
      <name val="Times New Roman"/>
      <family val="1"/>
    </font>
    <font>
      <sz val="8"/>
      <color theme="1"/>
      <name val="Times New Roman"/>
      <family val="1"/>
    </font>
    <font>
      <b/>
      <sz val="8"/>
      <color theme="1"/>
      <name val="Times New Roman"/>
      <family val="1"/>
    </font>
    <font>
      <sz val="7"/>
      <color theme="1"/>
      <name val="Times New Roman"/>
      <family val="1"/>
    </font>
    <font>
      <b/>
      <u/>
      <sz val="11"/>
      <color theme="1"/>
      <name val="Times New Roman"/>
      <family val="1"/>
    </font>
    <font>
      <b/>
      <sz val="12"/>
      <color theme="1"/>
      <name val="Times New Roman"/>
      <family val="1"/>
    </font>
    <font>
      <b/>
      <sz val="10"/>
      <color theme="1"/>
      <name val="Times New Roman"/>
      <family val="1"/>
    </font>
    <font>
      <b/>
      <u/>
      <sz val="9"/>
      <color theme="1"/>
      <name val="Times New Roman"/>
      <family val="1"/>
    </font>
    <font>
      <b/>
      <sz val="9"/>
      <color theme="1"/>
      <name val="Arial"/>
      <family val="2"/>
    </font>
    <font>
      <b/>
      <sz val="9"/>
      <color theme="1"/>
      <name val="Times New Roman"/>
      <family val="2"/>
    </font>
    <font>
      <b/>
      <sz val="11"/>
      <color theme="1"/>
      <name val="Calibri"/>
      <family val="2"/>
      <scheme val="minor"/>
    </font>
    <font>
      <b/>
      <u/>
      <sz val="12"/>
      <color theme="1"/>
      <name val="Aptos Display"/>
      <family val="2"/>
    </font>
    <font>
      <b/>
      <sz val="12"/>
      <color theme="1"/>
      <name val="Aptos Display"/>
      <family val="2"/>
    </font>
    <font>
      <sz val="10"/>
      <color theme="1"/>
      <name val="Symbol"/>
      <family val="1"/>
      <charset val="2"/>
    </font>
    <font>
      <sz val="10"/>
      <color theme="1"/>
      <name val="Aptos Display"/>
      <family val="2"/>
    </font>
    <font>
      <sz val="12"/>
      <color theme="1"/>
      <name val="Aptos Display"/>
      <family val="2"/>
    </font>
    <font>
      <b/>
      <sz val="12"/>
      <color theme="6" tint="0.79998168889431442"/>
      <name val="Aptos Display"/>
      <family val="2"/>
    </font>
    <font>
      <sz val="10"/>
      <color theme="6" tint="0.79998168889431442"/>
      <name val="Symbol"/>
      <family val="1"/>
      <charset val="2"/>
    </font>
    <font>
      <b/>
      <sz val="10"/>
      <color theme="6" tint="0.79998168889431442"/>
      <name val="Symbol"/>
      <family val="1"/>
      <charset val="2"/>
    </font>
    <font>
      <b/>
      <sz val="7"/>
      <color theme="6" tint="0.79998168889431442"/>
      <name val="Times New Roman"/>
      <family val="1"/>
    </font>
    <font>
      <b/>
      <sz val="10"/>
      <color theme="6" tint="0.79998168889431442"/>
      <name val="Aptos Display"/>
      <family val="2"/>
    </font>
    <font>
      <b/>
      <sz val="10"/>
      <color theme="1"/>
      <name val="Aptos Display"/>
      <family val="2"/>
    </font>
    <font>
      <b/>
      <sz val="14"/>
      <color rgb="FFFF0000"/>
      <name val="Calibri"/>
      <family val="2"/>
      <scheme val="minor"/>
    </font>
  </fonts>
  <fills count="18">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3"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s>
  <borders count="35">
    <border>
      <left/>
      <right/>
      <top/>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s>
  <cellStyleXfs count="20">
    <xf numFmtId="0" fontId="0" fillId="0" borderId="0"/>
    <xf numFmtId="0" fontId="2" fillId="0" borderId="0"/>
    <xf numFmtId="0" fontId="1" fillId="0" borderId="0"/>
    <xf numFmtId="0" fontId="10" fillId="0" borderId="0"/>
    <xf numFmtId="0" fontId="11" fillId="0" borderId="0"/>
    <xf numFmtId="0" fontId="8" fillId="9" borderId="0"/>
    <xf numFmtId="0" fontId="5" fillId="7" borderId="0"/>
    <xf numFmtId="0" fontId="13" fillId="10" borderId="0"/>
    <xf numFmtId="0" fontId="14" fillId="10" borderId="1"/>
    <xf numFmtId="0" fontId="3" fillId="0" borderId="0"/>
    <xf numFmtId="0" fontId="4" fillId="4" borderId="0"/>
    <xf numFmtId="0" fontId="4" fillId="5" borderId="0"/>
    <xf numFmtId="0" fontId="3" fillId="6" borderId="0"/>
    <xf numFmtId="0" fontId="6" fillId="8" borderId="0"/>
    <xf numFmtId="0" fontId="7" fillId="0" borderId="0"/>
    <xf numFmtId="0" fontId="9" fillId="0" borderId="0"/>
    <xf numFmtId="0" fontId="12" fillId="0" borderId="0"/>
    <xf numFmtId="0" fontId="1" fillId="0" borderId="0"/>
    <xf numFmtId="0" fontId="1" fillId="0" borderId="0"/>
    <xf numFmtId="0" fontId="5" fillId="0" borderId="0"/>
  </cellStyleXfs>
  <cellXfs count="183">
    <xf numFmtId="0" fontId="0" fillId="0" borderId="0" xfId="0"/>
    <xf numFmtId="0" fontId="20" fillId="3" borderId="2" xfId="0" applyFont="1" applyFill="1" applyBorder="1" applyAlignment="1">
      <alignment horizontal="center" vertical="top"/>
    </xf>
    <xf numFmtId="0" fontId="15" fillId="0" borderId="0" xfId="0" applyFont="1" applyAlignment="1">
      <alignment horizontal="center" vertical="top"/>
    </xf>
    <xf numFmtId="0" fontId="16" fillId="0" borderId="0" xfId="0" applyFont="1" applyAlignment="1">
      <alignment horizontal="center" vertical="top"/>
    </xf>
    <xf numFmtId="0" fontId="17" fillId="0" borderId="0" xfId="0" applyFont="1" applyAlignment="1">
      <alignment horizontal="center" vertical="top" wrapText="1"/>
    </xf>
    <xf numFmtId="0" fontId="17" fillId="11" borderId="2" xfId="0" applyFont="1" applyFill="1" applyBorder="1" applyAlignment="1">
      <alignment horizontal="center" vertical="top" wrapText="1"/>
    </xf>
    <xf numFmtId="164" fontId="17" fillId="13" borderId="2" xfId="0" applyNumberFormat="1" applyFont="1" applyFill="1" applyBorder="1" applyAlignment="1">
      <alignment horizontal="center" vertical="top" wrapText="1"/>
    </xf>
    <xf numFmtId="164" fontId="17" fillId="14" borderId="2" xfId="0" applyNumberFormat="1" applyFont="1" applyFill="1" applyBorder="1" applyAlignment="1">
      <alignment horizontal="center" vertical="top" wrapText="1"/>
    </xf>
    <xf numFmtId="164" fontId="17" fillId="11" borderId="2" xfId="0" applyNumberFormat="1" applyFont="1" applyFill="1" applyBorder="1" applyAlignment="1">
      <alignment horizontal="center" vertical="top" wrapText="1"/>
    </xf>
    <xf numFmtId="49" fontId="17" fillId="11" borderId="2" xfId="0" applyNumberFormat="1" applyFont="1" applyFill="1" applyBorder="1" applyAlignment="1">
      <alignment horizontal="center" vertical="top" wrapText="1"/>
    </xf>
    <xf numFmtId="0" fontId="17" fillId="3" borderId="2" xfId="0" applyFont="1" applyFill="1" applyBorder="1" applyAlignment="1">
      <alignment horizontal="center" vertical="top" wrapText="1"/>
    </xf>
    <xf numFmtId="165" fontId="15" fillId="0" borderId="2" xfId="0" applyNumberFormat="1" applyFont="1" applyBorder="1" applyAlignment="1" applyProtection="1">
      <alignment horizontal="center" vertical="top"/>
      <protection locked="0"/>
    </xf>
    <xf numFmtId="1" fontId="15" fillId="0" borderId="2" xfId="0" applyNumberFormat="1" applyFont="1" applyBorder="1" applyAlignment="1" applyProtection="1">
      <alignment horizontal="center" vertical="top"/>
      <protection locked="0"/>
    </xf>
    <xf numFmtId="0" fontId="15" fillId="0" borderId="0" xfId="0" applyFont="1" applyAlignment="1">
      <alignment horizontal="center" vertical="top" wrapText="1"/>
    </xf>
    <xf numFmtId="0" fontId="20" fillId="3" borderId="2" xfId="0" applyFont="1" applyFill="1" applyBorder="1" applyAlignment="1">
      <alignment horizontal="left" vertical="top"/>
    </xf>
    <xf numFmtId="0" fontId="15" fillId="11" borderId="18" xfId="0" applyFont="1" applyFill="1" applyBorder="1" applyAlignment="1">
      <alignment horizontal="center" vertical="top"/>
    </xf>
    <xf numFmtId="0" fontId="15" fillId="11" borderId="17" xfId="0" applyFont="1" applyFill="1" applyBorder="1" applyAlignment="1">
      <alignment horizontal="center" vertical="top"/>
    </xf>
    <xf numFmtId="0" fontId="21" fillId="15" borderId="18" xfId="0" applyFont="1" applyFill="1" applyBorder="1" applyAlignment="1">
      <alignment horizontal="center" vertical="top"/>
    </xf>
    <xf numFmtId="0" fontId="21" fillId="15" borderId="20" xfId="0" applyFont="1" applyFill="1" applyBorder="1" applyAlignment="1">
      <alignment horizontal="center" vertical="top"/>
    </xf>
    <xf numFmtId="0" fontId="22" fillId="0" borderId="0" xfId="0" applyFont="1"/>
    <xf numFmtId="0" fontId="24" fillId="0" borderId="23" xfId="0" applyFont="1" applyBorder="1"/>
    <xf numFmtId="0" fontId="22" fillId="0" borderId="24" xfId="0" applyFont="1" applyBorder="1"/>
    <xf numFmtId="0" fontId="22" fillId="0" borderId="25" xfId="0" applyFont="1" applyBorder="1"/>
    <xf numFmtId="0" fontId="22" fillId="0" borderId="28" xfId="0" applyFont="1" applyBorder="1"/>
    <xf numFmtId="0" fontId="22" fillId="0" borderId="20" xfId="0" applyFont="1" applyBorder="1"/>
    <xf numFmtId="0" fontId="24" fillId="0" borderId="2" xfId="0" applyFont="1" applyBorder="1" applyAlignment="1">
      <alignment horizontal="center" vertical="top" wrapText="1"/>
    </xf>
    <xf numFmtId="0" fontId="22" fillId="0" borderId="26" xfId="0" applyFont="1" applyBorder="1"/>
    <xf numFmtId="0" fontId="22" fillId="0" borderId="27" xfId="0" applyFont="1" applyBorder="1"/>
    <xf numFmtId="0" fontId="22" fillId="0" borderId="17" xfId="0" applyFont="1" applyBorder="1"/>
    <xf numFmtId="0" fontId="22" fillId="0" borderId="18" xfId="0" applyFont="1" applyBorder="1"/>
    <xf numFmtId="0" fontId="22" fillId="0" borderId="23" xfId="0" applyFont="1" applyBorder="1"/>
    <xf numFmtId="0" fontId="23" fillId="0" borderId="22" xfId="0" applyFont="1" applyBorder="1"/>
    <xf numFmtId="0" fontId="22" fillId="0" borderId="2" xfId="0" applyFont="1" applyBorder="1" applyAlignment="1">
      <alignment horizontal="center" vertical="center"/>
    </xf>
    <xf numFmtId="0" fontId="25" fillId="0" borderId="23" xfId="0" applyFont="1" applyBorder="1" applyAlignment="1">
      <alignment horizontal="left" indent="1"/>
    </xf>
    <xf numFmtId="0" fontId="22" fillId="0" borderId="0" xfId="0" applyFont="1" applyAlignment="1">
      <alignment horizontal="center" vertical="center"/>
    </xf>
    <xf numFmtId="0" fontId="23" fillId="0" borderId="0" xfId="0" applyFont="1"/>
    <xf numFmtId="14" fontId="22" fillId="0" borderId="0" xfId="0" applyNumberFormat="1" applyFont="1"/>
    <xf numFmtId="0" fontId="23" fillId="0" borderId="0" xfId="0" applyFont="1" applyAlignment="1">
      <alignment horizontal="center"/>
    </xf>
    <xf numFmtId="0" fontId="23" fillId="0" borderId="0" xfId="0" applyFont="1" applyAlignment="1">
      <alignment horizontal="left" indent="1"/>
    </xf>
    <xf numFmtId="0" fontId="32" fillId="0" borderId="0" xfId="0" applyFont="1"/>
    <xf numFmtId="0" fontId="22" fillId="0" borderId="0" xfId="0" applyFont="1" applyAlignment="1">
      <alignment horizontal="left" indent="1"/>
    </xf>
    <xf numFmtId="49" fontId="24" fillId="13" borderId="2" xfId="0" applyNumberFormat="1" applyFont="1" applyFill="1" applyBorder="1" applyAlignment="1" applyProtection="1">
      <alignment horizontal="center" vertical="center" wrapText="1"/>
      <protection locked="0"/>
    </xf>
    <xf numFmtId="14" fontId="24" fillId="13" borderId="2" xfId="0" applyNumberFormat="1" applyFont="1" applyFill="1" applyBorder="1" applyAlignment="1" applyProtection="1">
      <alignment horizontal="center" vertical="center" wrapText="1"/>
      <protection locked="0"/>
    </xf>
    <xf numFmtId="49" fontId="24" fillId="13" borderId="2" xfId="0" applyNumberFormat="1" applyFont="1" applyFill="1" applyBorder="1" applyAlignment="1" applyProtection="1">
      <alignment vertical="center" wrapText="1"/>
      <protection locked="0"/>
    </xf>
    <xf numFmtId="0" fontId="38" fillId="0" borderId="0" xfId="0" applyFont="1" applyAlignment="1">
      <alignment vertical="center"/>
    </xf>
    <xf numFmtId="0" fontId="34" fillId="0" borderId="31" xfId="0" applyFont="1" applyBorder="1" applyAlignment="1">
      <alignment horizontal="center" vertical="center"/>
    </xf>
    <xf numFmtId="0" fontId="35" fillId="0" borderId="32" xfId="0" applyFont="1" applyBorder="1" applyAlignment="1">
      <alignment vertical="center"/>
    </xf>
    <xf numFmtId="0" fontId="36" fillId="0" borderId="32" xfId="0" applyFont="1" applyBorder="1" applyAlignment="1">
      <alignment horizontal="left" vertical="center" indent="5"/>
    </xf>
    <xf numFmtId="0" fontId="39" fillId="14" borderId="32" xfId="0" applyFont="1" applyFill="1" applyBorder="1" applyAlignment="1">
      <alignment vertical="center"/>
    </xf>
    <xf numFmtId="0" fontId="40" fillId="14" borderId="32" xfId="0" applyFont="1" applyFill="1" applyBorder="1" applyAlignment="1">
      <alignment horizontal="left" vertical="center" indent="5"/>
    </xf>
    <xf numFmtId="0" fontId="41" fillId="14" borderId="32" xfId="0" applyFont="1" applyFill="1" applyBorder="1" applyAlignment="1">
      <alignment horizontal="left" vertical="center" indent="5"/>
    </xf>
    <xf numFmtId="0" fontId="12" fillId="0" borderId="32" xfId="16" applyBorder="1" applyAlignment="1">
      <alignment horizontal="left" indent="8"/>
    </xf>
    <xf numFmtId="0" fontId="35" fillId="17" borderId="31" xfId="0" applyFont="1" applyFill="1" applyBorder="1" applyAlignment="1">
      <alignment vertical="center"/>
    </xf>
    <xf numFmtId="0" fontId="36" fillId="17" borderId="32" xfId="0" applyFont="1" applyFill="1" applyBorder="1" applyAlignment="1">
      <alignment horizontal="left" vertical="center" indent="5"/>
    </xf>
    <xf numFmtId="0" fontId="36" fillId="0" borderId="32" xfId="0" applyFont="1" applyBorder="1" applyAlignment="1">
      <alignment horizontal="left" vertical="center" wrapText="1" indent="5"/>
    </xf>
    <xf numFmtId="0" fontId="37" fillId="0" borderId="31" xfId="0" applyFont="1" applyBorder="1" applyAlignment="1">
      <alignment vertical="center"/>
    </xf>
    <xf numFmtId="0" fontId="35" fillId="0" borderId="33" xfId="0" applyFont="1" applyBorder="1" applyAlignment="1">
      <alignment vertical="center"/>
    </xf>
    <xf numFmtId="0" fontId="12" fillId="0" borderId="31" xfId="16" applyBorder="1"/>
    <xf numFmtId="0" fontId="36" fillId="0" borderId="33" xfId="0" applyFont="1" applyBorder="1" applyAlignment="1">
      <alignment horizontal="left" vertical="center" indent="5"/>
    </xf>
    <xf numFmtId="0" fontId="36" fillId="17" borderId="32" xfId="0" applyFont="1" applyFill="1" applyBorder="1" applyAlignment="1">
      <alignment horizontal="left" vertical="center" wrapText="1" indent="5"/>
    </xf>
    <xf numFmtId="0" fontId="35" fillId="0" borderId="33" xfId="0" applyFont="1" applyBorder="1" applyAlignment="1">
      <alignment horizontal="center" vertical="center"/>
    </xf>
    <xf numFmtId="0" fontId="33" fillId="0" borderId="33" xfId="0" applyFont="1" applyBorder="1"/>
    <xf numFmtId="0" fontId="12" fillId="17" borderId="32" xfId="16" applyFill="1" applyBorder="1" applyAlignment="1">
      <alignment horizontal="left" indent="8"/>
    </xf>
    <xf numFmtId="0" fontId="15" fillId="0" borderId="0" xfId="0" applyFont="1" applyAlignment="1">
      <alignment horizontal="center" vertical="center" wrapText="1"/>
    </xf>
    <xf numFmtId="0" fontId="15" fillId="0" borderId="0" xfId="0" applyFont="1" applyAlignment="1">
      <alignment vertical="center" wrapText="1"/>
    </xf>
    <xf numFmtId="0" fontId="17" fillId="12" borderId="4" xfId="0" applyFont="1" applyFill="1" applyBorder="1" applyAlignment="1">
      <alignment horizontal="center" vertical="center" wrapText="1"/>
    </xf>
    <xf numFmtId="0" fontId="17" fillId="12" borderId="5" xfId="0" applyFont="1" applyFill="1" applyBorder="1" applyAlignment="1">
      <alignment horizontal="center" vertical="center" wrapText="1"/>
    </xf>
    <xf numFmtId="0" fontId="17" fillId="12" borderId="6" xfId="0" applyFont="1" applyFill="1" applyBorder="1" applyAlignment="1">
      <alignment horizontal="center" vertical="center" wrapText="1"/>
    </xf>
    <xf numFmtId="0" fontId="15" fillId="0" borderId="7" xfId="0" applyFont="1" applyBorder="1" applyAlignment="1">
      <alignment horizontal="center" vertical="center" wrapText="1"/>
    </xf>
    <xf numFmtId="0" fontId="15" fillId="0" borderId="3" xfId="0" applyFont="1" applyBorder="1" applyAlignment="1">
      <alignment vertical="center" wrapText="1"/>
    </xf>
    <xf numFmtId="0" fontId="15" fillId="0" borderId="8" xfId="0" applyFont="1" applyBorder="1" applyAlignment="1">
      <alignment vertical="center" wrapText="1"/>
    </xf>
    <xf numFmtId="0" fontId="15" fillId="0" borderId="9" xfId="0" applyFont="1" applyBorder="1" applyAlignment="1">
      <alignment horizontal="center" vertical="center" wrapText="1"/>
    </xf>
    <xf numFmtId="0" fontId="15" fillId="0" borderId="2" xfId="0" applyFont="1" applyBorder="1" applyAlignment="1">
      <alignment vertical="center" wrapText="1"/>
    </xf>
    <xf numFmtId="0" fontId="15" fillId="0" borderId="10" xfId="0" applyFont="1" applyBorder="1" applyAlignment="1">
      <alignment vertical="center" wrapText="1"/>
    </xf>
    <xf numFmtId="0" fontId="17" fillId="0" borderId="2" xfId="0" applyFont="1" applyBorder="1" applyAlignment="1">
      <alignment vertical="center" wrapText="1"/>
    </xf>
    <xf numFmtId="0" fontId="15" fillId="0" borderId="11" xfId="0" applyFont="1" applyBorder="1" applyAlignment="1">
      <alignment horizontal="center" vertical="center" wrapText="1"/>
    </xf>
    <xf numFmtId="0" fontId="15" fillId="0" borderId="12" xfId="0" applyFont="1" applyBorder="1" applyAlignment="1">
      <alignment vertical="center" wrapText="1"/>
    </xf>
    <xf numFmtId="0" fontId="15" fillId="0" borderId="13" xfId="0" applyFont="1" applyBorder="1" applyAlignment="1">
      <alignment vertical="center" wrapText="1"/>
    </xf>
    <xf numFmtId="0" fontId="17" fillId="0" borderId="0" xfId="0" applyFont="1" applyAlignment="1">
      <alignment horizontal="left" vertical="center"/>
    </xf>
    <xf numFmtId="0" fontId="25" fillId="0" borderId="0" xfId="0" applyFont="1" applyAlignment="1">
      <alignment horizontal="center" vertical="center"/>
    </xf>
    <xf numFmtId="0" fontId="25" fillId="0" borderId="25" xfId="0" applyFont="1" applyBorder="1" applyAlignment="1">
      <alignment horizontal="center" vertical="center"/>
    </xf>
    <xf numFmtId="0" fontId="0" fillId="0" borderId="34" xfId="0" applyBorder="1"/>
    <xf numFmtId="0" fontId="22" fillId="0" borderId="34" xfId="0" applyFont="1" applyBorder="1"/>
    <xf numFmtId="1" fontId="22" fillId="0" borderId="0" xfId="0" applyNumberFormat="1" applyFont="1" applyAlignment="1">
      <alignment horizontal="center"/>
    </xf>
    <xf numFmtId="0" fontId="24" fillId="0" borderId="0" xfId="0" applyFont="1" applyAlignment="1">
      <alignment wrapText="1"/>
    </xf>
    <xf numFmtId="0" fontId="24" fillId="0" borderId="0" xfId="0" applyFont="1"/>
    <xf numFmtId="0" fontId="17" fillId="0" borderId="0" xfId="0" applyFont="1" applyAlignment="1">
      <alignment horizontal="center" vertical="top"/>
    </xf>
    <xf numFmtId="0" fontId="17" fillId="0" borderId="0" xfId="0" applyFont="1" applyAlignment="1" applyProtection="1">
      <alignment horizontal="center" vertical="top"/>
      <protection hidden="1"/>
    </xf>
    <xf numFmtId="0" fontId="16" fillId="0" borderId="2" xfId="0" applyFont="1" applyBorder="1" applyAlignment="1">
      <alignment horizontal="center" vertical="top" wrapText="1"/>
    </xf>
    <xf numFmtId="0" fontId="16" fillId="0" borderId="2" xfId="0" applyFont="1" applyBorder="1" applyAlignment="1">
      <alignment horizontal="left" vertical="top" wrapText="1"/>
    </xf>
    <xf numFmtId="49" fontId="24" fillId="0" borderId="2" xfId="0" applyNumberFormat="1" applyFont="1" applyBorder="1" applyAlignment="1">
      <alignment horizontal="center" vertical="center" wrapText="1"/>
    </xf>
    <xf numFmtId="14" fontId="24" fillId="0" borderId="2" xfId="0" applyNumberFormat="1" applyFont="1" applyBorder="1" applyAlignment="1">
      <alignment horizontal="center" vertical="center" wrapText="1"/>
    </xf>
    <xf numFmtId="49" fontId="24" fillId="0" borderId="2" xfId="0" applyNumberFormat="1" applyFont="1" applyBorder="1" applyAlignment="1">
      <alignment vertical="center" wrapText="1"/>
    </xf>
    <xf numFmtId="0" fontId="15" fillId="13" borderId="0" xfId="0" applyFont="1" applyFill="1" applyAlignment="1">
      <alignment vertical="center" wrapText="1"/>
    </xf>
    <xf numFmtId="0" fontId="44" fillId="17" borderId="33" xfId="0" applyFont="1" applyFill="1" applyBorder="1" applyAlignment="1">
      <alignment horizontal="center" vertical="center"/>
    </xf>
    <xf numFmtId="0" fontId="45" fillId="0" borderId="18" xfId="0" applyFont="1" applyBorder="1" applyAlignment="1">
      <alignment horizontal="centerContinuous" vertical="top"/>
    </xf>
    <xf numFmtId="0" fontId="45" fillId="0" borderId="20" xfId="0" applyFont="1" applyBorder="1" applyAlignment="1">
      <alignment horizontal="centerContinuous" vertical="top"/>
    </xf>
    <xf numFmtId="0" fontId="16" fillId="0" borderId="17" xfId="0" applyFont="1" applyBorder="1" applyAlignment="1">
      <alignment horizontal="centerContinuous" vertical="top" wrapText="1"/>
    </xf>
    <xf numFmtId="0" fontId="16" fillId="0" borderId="2" xfId="0" applyFont="1" applyBorder="1" applyAlignment="1">
      <alignment horizontal="center" vertical="top" wrapText="1"/>
    </xf>
    <xf numFmtId="0" fontId="16" fillId="2" borderId="21" xfId="0" applyFont="1" applyFill="1" applyBorder="1" applyAlignment="1">
      <alignment horizontal="center" vertical="top" wrapText="1"/>
    </xf>
    <xf numFmtId="0" fontId="16" fillId="2" borderId="18" xfId="0" applyFont="1" applyFill="1" applyBorder="1" applyAlignment="1">
      <alignment horizontal="center" vertical="top" wrapText="1"/>
    </xf>
    <xf numFmtId="0" fontId="16" fillId="2" borderId="20" xfId="0" applyFont="1" applyFill="1" applyBorder="1" applyAlignment="1">
      <alignment horizontal="center" vertical="top" wrapText="1"/>
    </xf>
    <xf numFmtId="0" fontId="21" fillId="15" borderId="17" xfId="0" applyFont="1" applyFill="1" applyBorder="1" applyAlignment="1">
      <alignment horizontal="center" vertical="top" wrapText="1"/>
    </xf>
    <xf numFmtId="0" fontId="21" fillId="15" borderId="18" xfId="0" applyFont="1" applyFill="1" applyBorder="1" applyAlignment="1">
      <alignment horizontal="center" vertical="top" wrapText="1"/>
    </xf>
    <xf numFmtId="0" fontId="21" fillId="15" borderId="19" xfId="0" applyFont="1" applyFill="1" applyBorder="1" applyAlignment="1">
      <alignment horizontal="center" vertical="top" wrapText="1"/>
    </xf>
    <xf numFmtId="0" fontId="17" fillId="11" borderId="14" xfId="0" applyFont="1" applyFill="1" applyBorder="1" applyAlignment="1">
      <alignment horizontal="center" vertical="top" wrapText="1"/>
    </xf>
    <xf numFmtId="0" fontId="17" fillId="11" borderId="15" xfId="0" applyFont="1" applyFill="1" applyBorder="1" applyAlignment="1">
      <alignment horizontal="center" vertical="top" wrapText="1"/>
    </xf>
    <xf numFmtId="0" fontId="17" fillId="11" borderId="16" xfId="0" applyFont="1" applyFill="1" applyBorder="1" applyAlignment="1">
      <alignment horizontal="center" vertical="top" wrapText="1"/>
    </xf>
    <xf numFmtId="0" fontId="28" fillId="0" borderId="22" xfId="0" applyFont="1" applyBorder="1" applyAlignment="1">
      <alignment horizontal="center" vertical="center"/>
    </xf>
    <xf numFmtId="0" fontId="28" fillId="0" borderId="23" xfId="0" applyFont="1" applyBorder="1" applyAlignment="1">
      <alignment horizontal="center" vertical="center"/>
    </xf>
    <xf numFmtId="0" fontId="28" fillId="0" borderId="24" xfId="0" applyFont="1" applyBorder="1" applyAlignment="1">
      <alignment horizontal="center" vertical="center"/>
    </xf>
    <xf numFmtId="0" fontId="23" fillId="0" borderId="34" xfId="0" applyFont="1" applyBorder="1" applyAlignment="1">
      <alignment horizontal="center" vertical="center"/>
    </xf>
    <xf numFmtId="0" fontId="23" fillId="0" borderId="0" xfId="0" applyFont="1" applyAlignment="1">
      <alignment horizontal="center" vertical="center"/>
    </xf>
    <xf numFmtId="0" fontId="23" fillId="0" borderId="25" xfId="0" applyFont="1" applyBorder="1" applyAlignment="1">
      <alignment horizontal="center" vertical="center"/>
    </xf>
    <xf numFmtId="0" fontId="28" fillId="0" borderId="34" xfId="0" applyFont="1" applyBorder="1" applyAlignment="1">
      <alignment horizontal="center" vertical="center"/>
    </xf>
    <xf numFmtId="0" fontId="28" fillId="0" borderId="0" xfId="0" applyFont="1" applyAlignment="1">
      <alignment horizontal="center" vertical="center"/>
    </xf>
    <xf numFmtId="0" fontId="28" fillId="0" borderId="25" xfId="0" applyFont="1" applyBorder="1" applyAlignment="1">
      <alignment horizontal="center" vertical="center"/>
    </xf>
    <xf numFmtId="0" fontId="29" fillId="0" borderId="34" xfId="0" applyFont="1" applyBorder="1" applyAlignment="1">
      <alignment horizontal="center" vertical="center"/>
    </xf>
    <xf numFmtId="0" fontId="29" fillId="0" borderId="0" xfId="0" applyFont="1" applyAlignment="1">
      <alignment horizontal="center" vertical="center"/>
    </xf>
    <xf numFmtId="0" fontId="29" fillId="0" borderId="25" xfId="0" applyFont="1" applyBorder="1" applyAlignment="1">
      <alignment horizontal="center" vertical="center"/>
    </xf>
    <xf numFmtId="0" fontId="25" fillId="0" borderId="34" xfId="0" applyFont="1" applyBorder="1" applyAlignment="1">
      <alignment horizontal="center" vertical="center"/>
    </xf>
    <xf numFmtId="0" fontId="25" fillId="0" borderId="0" xfId="0" applyFont="1" applyAlignment="1">
      <alignment horizontal="center" vertical="center"/>
    </xf>
    <xf numFmtId="0" fontId="25" fillId="0" borderId="25" xfId="0" applyFont="1" applyBorder="1" applyAlignment="1">
      <alignment horizontal="center" vertical="center"/>
    </xf>
    <xf numFmtId="0" fontId="22" fillId="0" borderId="17" xfId="0" applyFont="1" applyBorder="1" applyAlignment="1">
      <alignment vertical="center" wrapText="1"/>
    </xf>
    <xf numFmtId="0" fontId="22" fillId="0" borderId="18" xfId="0" applyFont="1" applyBorder="1" applyAlignment="1">
      <alignment vertical="center" wrapText="1"/>
    </xf>
    <xf numFmtId="0" fontId="22" fillId="0" borderId="20" xfId="0" applyFont="1" applyBorder="1" applyAlignment="1">
      <alignment vertical="center" wrapText="1"/>
    </xf>
    <xf numFmtId="0" fontId="22" fillId="0" borderId="17" xfId="0" applyFont="1" applyBorder="1" applyAlignment="1">
      <alignment horizontal="left" vertical="center" indent="1"/>
    </xf>
    <xf numFmtId="0" fontId="22" fillId="0" borderId="18" xfId="0" applyFont="1" applyBorder="1" applyAlignment="1">
      <alignment horizontal="left" vertical="center" indent="1"/>
    </xf>
    <xf numFmtId="0" fontId="22" fillId="0" borderId="20" xfId="0" applyFont="1" applyBorder="1" applyAlignment="1">
      <alignment horizontal="left" vertical="center" indent="1"/>
    </xf>
    <xf numFmtId="0" fontId="22" fillId="0" borderId="2" xfId="0" applyFont="1" applyBorder="1" applyAlignment="1">
      <alignment horizontal="center" vertical="center"/>
    </xf>
    <xf numFmtId="0" fontId="22" fillId="0" borderId="22" xfId="0" applyFont="1" applyBorder="1" applyAlignment="1">
      <alignment vertical="center" wrapText="1"/>
    </xf>
    <xf numFmtId="0" fontId="22" fillId="0" borderId="23" xfId="0" applyFont="1" applyBorder="1" applyAlignment="1">
      <alignment vertical="center" wrapText="1"/>
    </xf>
    <xf numFmtId="0" fontId="22" fillId="0" borderId="24" xfId="0" applyFont="1" applyBorder="1" applyAlignment="1">
      <alignment vertical="center" wrapText="1"/>
    </xf>
    <xf numFmtId="0" fontId="22" fillId="0" borderId="22" xfId="0" applyFont="1" applyBorder="1" applyAlignment="1">
      <alignment horizontal="left" vertical="center" indent="1"/>
    </xf>
    <xf numFmtId="0" fontId="22" fillId="0" borderId="23" xfId="0" applyFont="1" applyBorder="1" applyAlignment="1">
      <alignment horizontal="left" vertical="center" indent="1"/>
    </xf>
    <xf numFmtId="0" fontId="22" fillId="0" borderId="24" xfId="0" applyFont="1" applyBorder="1" applyAlignment="1">
      <alignment horizontal="left" vertical="center" indent="1"/>
    </xf>
    <xf numFmtId="0" fontId="22" fillId="0" borderId="26" xfId="0" applyFont="1" applyBorder="1" applyAlignment="1">
      <alignment vertical="center" wrapText="1"/>
    </xf>
    <xf numFmtId="0" fontId="22" fillId="0" borderId="27" xfId="0" applyFont="1" applyBorder="1" applyAlignment="1">
      <alignment vertical="center" wrapText="1"/>
    </xf>
    <xf numFmtId="0" fontId="22" fillId="0" borderId="28" xfId="0" applyFont="1" applyBorder="1" applyAlignment="1">
      <alignment vertical="center" wrapText="1"/>
    </xf>
    <xf numFmtId="0" fontId="22" fillId="0" borderId="26" xfId="0" applyFont="1" applyBorder="1" applyAlignment="1">
      <alignment horizontal="left" vertical="center" indent="1"/>
    </xf>
    <xf numFmtId="0" fontId="22" fillId="0" borderId="27" xfId="0" applyFont="1" applyBorder="1" applyAlignment="1">
      <alignment horizontal="left" vertical="center" indent="1"/>
    </xf>
    <xf numFmtId="0" fontId="22" fillId="0" borderId="28" xfId="0" applyFont="1" applyBorder="1" applyAlignment="1">
      <alignment horizontal="left" vertical="center" indent="1"/>
    </xf>
    <xf numFmtId="1" fontId="22" fillId="0" borderId="17" xfId="0" applyNumberFormat="1" applyFont="1" applyBorder="1" applyAlignment="1">
      <alignment horizontal="left" vertical="center" indent="1"/>
    </xf>
    <xf numFmtId="1" fontId="22" fillId="0" borderId="26" xfId="0" applyNumberFormat="1" applyFont="1" applyBorder="1" applyAlignment="1">
      <alignment horizontal="left" vertical="center" indent="1"/>
    </xf>
    <xf numFmtId="1" fontId="22" fillId="0" borderId="18" xfId="0" applyNumberFormat="1" applyFont="1" applyBorder="1" applyAlignment="1">
      <alignment horizontal="left" vertical="center" indent="1"/>
    </xf>
    <xf numFmtId="1" fontId="22" fillId="0" borderId="20" xfId="0" applyNumberFormat="1" applyFont="1" applyBorder="1" applyAlignment="1">
      <alignment horizontal="left" vertical="center" indent="1"/>
    </xf>
    <xf numFmtId="0" fontId="24" fillId="0" borderId="29" xfId="0" applyFont="1" applyBorder="1" applyAlignment="1">
      <alignment horizontal="center" vertical="center"/>
    </xf>
    <xf numFmtId="0" fontId="24" fillId="0" borderId="30" xfId="0" applyFont="1" applyBorder="1" applyAlignment="1">
      <alignment horizontal="center" vertical="center"/>
    </xf>
    <xf numFmtId="0" fontId="24" fillId="0" borderId="3" xfId="0" applyFont="1" applyBorder="1" applyAlignment="1">
      <alignment horizontal="center" vertical="center"/>
    </xf>
    <xf numFmtId="0" fontId="24" fillId="0" borderId="17" xfId="0" applyFont="1" applyBorder="1" applyAlignment="1">
      <alignment horizontal="center" vertical="top" wrapText="1"/>
    </xf>
    <xf numFmtId="0" fontId="24" fillId="0" borderId="20" xfId="0" applyFont="1" applyBorder="1" applyAlignment="1">
      <alignment horizontal="center" vertical="top" wrapText="1"/>
    </xf>
    <xf numFmtId="49" fontId="24" fillId="0" borderId="17" xfId="0" applyNumberFormat="1" applyFont="1" applyBorder="1" applyAlignment="1">
      <alignment horizontal="center" vertical="center" wrapText="1"/>
    </xf>
    <xf numFmtId="49" fontId="24" fillId="0" borderId="20" xfId="0" applyNumberFormat="1" applyFont="1" applyBorder="1" applyAlignment="1">
      <alignment horizontal="center" vertical="center" wrapText="1"/>
    </xf>
    <xf numFmtId="0" fontId="22" fillId="0" borderId="29" xfId="0" applyFont="1" applyBorder="1" applyAlignment="1">
      <alignment horizontal="center" vertical="center"/>
    </xf>
    <xf numFmtId="0" fontId="22" fillId="0" borderId="30" xfId="0" applyFont="1" applyBorder="1" applyAlignment="1">
      <alignment horizontal="center" vertical="center"/>
    </xf>
    <xf numFmtId="0" fontId="22" fillId="0" borderId="3" xfId="0" applyFont="1" applyBorder="1" applyAlignment="1">
      <alignment horizontal="center" vertical="center"/>
    </xf>
    <xf numFmtId="0" fontId="22" fillId="0" borderId="17" xfId="0" applyFont="1" applyBorder="1" applyAlignment="1">
      <alignment horizontal="left" indent="1"/>
    </xf>
    <xf numFmtId="0" fontId="22" fillId="0" borderId="18" xfId="0" applyFont="1" applyBorder="1" applyAlignment="1">
      <alignment horizontal="left" indent="1"/>
    </xf>
    <xf numFmtId="0" fontId="22" fillId="0" borderId="20" xfId="0" applyFont="1" applyBorder="1" applyAlignment="1">
      <alignment horizontal="left" indent="1"/>
    </xf>
    <xf numFmtId="0" fontId="27" fillId="0" borderId="0" xfId="0" applyFont="1" applyAlignment="1">
      <alignment horizontal="center" wrapText="1"/>
    </xf>
    <xf numFmtId="0" fontId="22" fillId="0" borderId="0" xfId="0" applyFont="1" applyAlignment="1">
      <alignment horizontal="left" wrapText="1" indent="1"/>
    </xf>
    <xf numFmtId="0" fontId="23" fillId="0" borderId="0" xfId="0" applyFont="1" applyAlignment="1">
      <alignment horizontal="center"/>
    </xf>
    <xf numFmtId="0" fontId="22" fillId="0" borderId="0" xfId="0" applyFont="1" applyAlignment="1">
      <alignment horizontal="center"/>
    </xf>
    <xf numFmtId="0" fontId="30" fillId="0" borderId="0" xfId="0" applyFont="1" applyAlignment="1">
      <alignment horizontal="center"/>
    </xf>
    <xf numFmtId="0" fontId="23" fillId="0" borderId="0" xfId="0" applyFont="1" applyAlignment="1">
      <alignment horizontal="left" indent="1"/>
    </xf>
    <xf numFmtId="0" fontId="23" fillId="0" borderId="0" xfId="0" applyFont="1" applyAlignment="1">
      <alignment horizontal="left" wrapText="1" indent="1"/>
    </xf>
    <xf numFmtId="0" fontId="23" fillId="0" borderId="0" xfId="0" applyFont="1" applyAlignment="1">
      <alignment horizontal="left" wrapText="1"/>
    </xf>
    <xf numFmtId="0" fontId="23" fillId="0" borderId="0" xfId="0" applyFont="1" applyAlignment="1">
      <alignment horizontal="right"/>
    </xf>
    <xf numFmtId="0" fontId="16" fillId="0" borderId="0" xfId="0" applyFont="1" applyAlignment="1">
      <alignment horizontal="left" vertical="center" wrapText="1"/>
    </xf>
    <xf numFmtId="0" fontId="22" fillId="13" borderId="22" xfId="0" applyFont="1" applyFill="1" applyBorder="1" applyAlignment="1" applyProtection="1">
      <alignment horizontal="left" vertical="center" indent="1"/>
      <protection locked="0"/>
    </xf>
    <xf numFmtId="0" fontId="22" fillId="13" borderId="23" xfId="0" applyFont="1" applyFill="1" applyBorder="1" applyAlignment="1" applyProtection="1">
      <alignment horizontal="left" vertical="center" indent="1"/>
      <protection locked="0"/>
    </xf>
    <xf numFmtId="0" fontId="22" fillId="13" borderId="24" xfId="0" applyFont="1" applyFill="1" applyBorder="1" applyAlignment="1" applyProtection="1">
      <alignment horizontal="left" vertical="center" indent="1"/>
      <protection locked="0"/>
    </xf>
    <xf numFmtId="0" fontId="22" fillId="13" borderId="17" xfId="0" applyFont="1" applyFill="1" applyBorder="1" applyAlignment="1" applyProtection="1">
      <alignment horizontal="left" vertical="center" indent="1"/>
      <protection locked="0"/>
    </xf>
    <xf numFmtId="0" fontId="22" fillId="13" borderId="18" xfId="0" applyFont="1" applyFill="1" applyBorder="1" applyAlignment="1" applyProtection="1">
      <alignment horizontal="left" vertical="center" indent="1"/>
      <protection locked="0"/>
    </xf>
    <xf numFmtId="0" fontId="22" fillId="13" borderId="20" xfId="0" applyFont="1" applyFill="1" applyBorder="1" applyAlignment="1" applyProtection="1">
      <alignment horizontal="left" vertical="center" indent="1"/>
      <protection locked="0"/>
    </xf>
    <xf numFmtId="0" fontId="22" fillId="16" borderId="17" xfId="0" applyFont="1" applyFill="1" applyBorder="1" applyAlignment="1">
      <alignment horizontal="left" vertical="center" indent="1"/>
    </xf>
    <xf numFmtId="0" fontId="22" fillId="16" borderId="18" xfId="0" applyFont="1" applyFill="1" applyBorder="1" applyAlignment="1">
      <alignment horizontal="left" vertical="center" indent="1"/>
    </xf>
    <xf numFmtId="0" fontId="22" fillId="16" borderId="20" xfId="0" applyFont="1" applyFill="1" applyBorder="1" applyAlignment="1">
      <alignment horizontal="left" vertical="center" indent="1"/>
    </xf>
    <xf numFmtId="49" fontId="24" fillId="13" borderId="17" xfId="0" applyNumberFormat="1" applyFont="1" applyFill="1" applyBorder="1" applyAlignment="1" applyProtection="1">
      <alignment horizontal="center" vertical="center" wrapText="1"/>
      <protection locked="0"/>
    </xf>
    <xf numFmtId="49" fontId="24" fillId="13" borderId="20" xfId="0" applyNumberFormat="1" applyFont="1" applyFill="1" applyBorder="1" applyAlignment="1" applyProtection="1">
      <alignment horizontal="center" vertical="center" wrapText="1"/>
      <protection locked="0"/>
    </xf>
    <xf numFmtId="0" fontId="22" fillId="13" borderId="26" xfId="0" applyFont="1" applyFill="1" applyBorder="1" applyAlignment="1" applyProtection="1">
      <alignment horizontal="left" vertical="center" indent="1"/>
      <protection locked="0"/>
    </xf>
    <xf numFmtId="0" fontId="22" fillId="13" borderId="27" xfId="0" applyFont="1" applyFill="1" applyBorder="1" applyAlignment="1" applyProtection="1">
      <alignment horizontal="left" vertical="center" indent="1"/>
      <protection locked="0"/>
    </xf>
    <xf numFmtId="0" fontId="22" fillId="13" borderId="28" xfId="0" applyFont="1" applyFill="1" applyBorder="1" applyAlignment="1" applyProtection="1">
      <alignment horizontal="left" vertical="center" indent="1"/>
      <protection locked="0"/>
    </xf>
  </cellXfs>
  <cellStyles count="20">
    <cellStyle name="Accent" xfId="9" xr:uid="{BB615319-9FF9-4CFD-86F1-E083719CCF88}"/>
    <cellStyle name="Accent 1" xfId="10" xr:uid="{FF10649C-52A0-4391-872A-1E8C53839023}"/>
    <cellStyle name="Accent 2" xfId="11" xr:uid="{20A8C94C-C9FE-4C43-A9B6-3976C5410873}"/>
    <cellStyle name="Accent 3" xfId="12" xr:uid="{E4C9164C-A886-4575-BB4D-F7C91EFEE535}"/>
    <cellStyle name="Bad 2" xfId="6" xr:uid="{C377F8BD-9373-42E8-A73C-D8EEA5A6A609}"/>
    <cellStyle name="Error" xfId="13" xr:uid="{36D8ED3B-8D92-4474-92F1-71DBD75AF967}"/>
    <cellStyle name="Excel Built-in Normal" xfId="1" xr:uid="{C7366A4D-69B1-4573-8A32-2CEFCC5E8746}"/>
    <cellStyle name="Footnote" xfId="14" xr:uid="{5A3A9C1E-7278-4017-BCDD-1F126C1C3EA7}"/>
    <cellStyle name="Good 2" xfId="5" xr:uid="{1380F76B-5B0A-4CE7-B5B7-8A6EBB088573}"/>
    <cellStyle name="Heading" xfId="15" xr:uid="{94600C8B-ABE2-41B7-987B-AB55F0DF14CB}"/>
    <cellStyle name="Heading 1 2" xfId="3" xr:uid="{31F03427-4976-49CF-AD83-0D3BFCC9AD77}"/>
    <cellStyle name="Heading 2 2" xfId="4" xr:uid="{D00B1730-E8E3-480C-9C9B-496EAB0437B2}"/>
    <cellStyle name="Hyperlink" xfId="16" xr:uid="{6E894F9C-289D-4D3C-A98E-D0BED1029034}"/>
    <cellStyle name="Neutral 2" xfId="7" xr:uid="{0DCF054C-3655-4705-AE64-E1AFBD7027BC}"/>
    <cellStyle name="Normal" xfId="0" builtinId="0"/>
    <cellStyle name="Normal 2" xfId="2" xr:uid="{99C18992-68F3-4690-8620-14B16B9244B9}"/>
    <cellStyle name="Note 2" xfId="8" xr:uid="{BF4EC83F-4C4B-4D62-A3B2-B49FA6CB1F41}"/>
    <cellStyle name="Status" xfId="17" xr:uid="{1AF89E73-8E38-467F-9D64-586EE723811C}"/>
    <cellStyle name="Text" xfId="18" xr:uid="{91A6E862-2A55-4D21-A84D-EDB6C1361FBD}"/>
    <cellStyle name="Warning" xfId="19" xr:uid="{E2D3C0A2-5F91-4997-84AD-BF7559A814EE}"/>
  </cellStyles>
  <dxfs count="2">
    <dxf>
      <font>
        <b/>
        <i val="0"/>
        <color theme="0"/>
      </font>
      <fill>
        <patternFill>
          <bgColor rgb="FFFF0000"/>
        </patternFill>
      </fill>
    </dxf>
    <dxf>
      <fill>
        <patternFill patternType="lightUp">
          <fgColor theme="1"/>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noThreeD="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2</xdr:col>
      <xdr:colOff>0</xdr:colOff>
      <xdr:row>11</xdr:row>
      <xdr:rowOff>59823</xdr:rowOff>
    </xdr:from>
    <xdr:ext cx="1019190" cy="937629"/>
    <xdr:sp macro="" textlink="">
      <xdr:nvSpPr>
        <xdr:cNvPr id="2" name="Rectangle 1">
          <a:extLst>
            <a:ext uri="{FF2B5EF4-FFF2-40B4-BE49-F238E27FC236}">
              <a16:creationId xmlns:a16="http://schemas.microsoft.com/office/drawing/2014/main" id="{2E958B5B-BDDD-FAF0-7C49-4508D0F394F6}"/>
            </a:ext>
          </a:extLst>
        </xdr:cNvPr>
        <xdr:cNvSpPr/>
      </xdr:nvSpPr>
      <xdr:spPr>
        <a:xfrm>
          <a:off x="4957755" y="2002923"/>
          <a:ext cx="1019190"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OR</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56285</xdr:colOff>
      <xdr:row>77</xdr:row>
      <xdr:rowOff>129063</xdr:rowOff>
    </xdr:from>
    <xdr:to>
      <xdr:col>40</xdr:col>
      <xdr:colOff>538367</xdr:colOff>
      <xdr:row>80</xdr:row>
      <xdr:rowOff>140755</xdr:rowOff>
    </xdr:to>
    <xdr:pic>
      <xdr:nvPicPr>
        <xdr:cNvPr id="4" name="Picture 3" descr="EPFO">
          <a:extLst>
            <a:ext uri="{FF2B5EF4-FFF2-40B4-BE49-F238E27FC236}">
              <a16:creationId xmlns:a16="http://schemas.microsoft.com/office/drawing/2014/main" id="{2A41FD6E-8448-4047-B3BC-E333E41CD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25089" y="8646346"/>
          <a:ext cx="578713" cy="595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40</xdr:col>
          <xdr:colOff>723900</xdr:colOff>
          <xdr:row>85</xdr:row>
          <xdr:rowOff>160020</xdr:rowOff>
        </xdr:from>
        <xdr:to>
          <xdr:col>41</xdr:col>
          <xdr:colOff>274320</xdr:colOff>
          <xdr:row>87</xdr:row>
          <xdr:rowOff>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373380</xdr:colOff>
          <xdr:row>139</xdr:row>
          <xdr:rowOff>30480</xdr:rowOff>
        </xdr:from>
        <xdr:to>
          <xdr:col>41</xdr:col>
          <xdr:colOff>647700</xdr:colOff>
          <xdr:row>140</xdr:row>
          <xdr:rowOff>30480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373380</xdr:colOff>
          <xdr:row>140</xdr:row>
          <xdr:rowOff>22860</xdr:rowOff>
        </xdr:from>
        <xdr:to>
          <xdr:col>41</xdr:col>
          <xdr:colOff>678180</xdr:colOff>
          <xdr:row>141</xdr:row>
          <xdr:rowOff>30480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2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373380</xdr:colOff>
          <xdr:row>138</xdr:row>
          <xdr:rowOff>30480</xdr:rowOff>
        </xdr:from>
        <xdr:to>
          <xdr:col>41</xdr:col>
          <xdr:colOff>678180</xdr:colOff>
          <xdr:row>139</xdr:row>
          <xdr:rowOff>30480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144</xdr:row>
          <xdr:rowOff>76200</xdr:rowOff>
        </xdr:from>
        <xdr:to>
          <xdr:col>39</xdr:col>
          <xdr:colOff>60960</xdr:colOff>
          <xdr:row>145</xdr:row>
          <xdr:rowOff>60960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106680</xdr:colOff>
          <xdr:row>146</xdr:row>
          <xdr:rowOff>7620</xdr:rowOff>
        </xdr:from>
        <xdr:to>
          <xdr:col>39</xdr:col>
          <xdr:colOff>60960</xdr:colOff>
          <xdr:row>147</xdr:row>
          <xdr:rowOff>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731520</xdr:colOff>
          <xdr:row>86</xdr:row>
          <xdr:rowOff>152400</xdr:rowOff>
        </xdr:from>
        <xdr:to>
          <xdr:col>41</xdr:col>
          <xdr:colOff>274320</xdr:colOff>
          <xdr:row>87</xdr:row>
          <xdr:rowOff>182880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268671</xdr:colOff>
      <xdr:row>6</xdr:row>
      <xdr:rowOff>24431</xdr:rowOff>
    </xdr:from>
    <xdr:to>
      <xdr:col>13</xdr:col>
      <xdr:colOff>1069653</xdr:colOff>
      <xdr:row>41</xdr:row>
      <xdr:rowOff>35401</xdr:rowOff>
    </xdr:to>
    <xdr:pic>
      <xdr:nvPicPr>
        <xdr:cNvPr id="3" name="Picture 2">
          <a:extLst>
            <a:ext uri="{FF2B5EF4-FFF2-40B4-BE49-F238E27FC236}">
              <a16:creationId xmlns:a16="http://schemas.microsoft.com/office/drawing/2014/main" id="{B07BB5D2-A0E4-3971-219D-1D14947C005D}"/>
            </a:ext>
          </a:extLst>
        </xdr:cNvPr>
        <xdr:cNvPicPr>
          <a:picLocks noChangeAspect="1"/>
        </xdr:cNvPicPr>
      </xdr:nvPicPr>
      <xdr:blipFill>
        <a:blip xmlns:r="http://schemas.openxmlformats.org/officeDocument/2006/relationships" r:embed="rId2"/>
        <a:stretch>
          <a:fillRect/>
        </a:stretch>
      </xdr:blipFill>
      <xdr:spPr>
        <a:xfrm>
          <a:off x="1221171" y="4127508"/>
          <a:ext cx="13317809" cy="68494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221940</xdr:colOff>
      <xdr:row>0</xdr:row>
      <xdr:rowOff>46239</xdr:rowOff>
    </xdr:from>
    <xdr:to>
      <xdr:col>2</xdr:col>
      <xdr:colOff>584585</xdr:colOff>
      <xdr:row>4</xdr:row>
      <xdr:rowOff>36991</xdr:rowOff>
    </xdr:to>
    <xdr:pic>
      <xdr:nvPicPr>
        <xdr:cNvPr id="2" name="Picture 1" descr="EPFO">
          <a:extLst>
            <a:ext uri="{FF2B5EF4-FFF2-40B4-BE49-F238E27FC236}">
              <a16:creationId xmlns:a16="http://schemas.microsoft.com/office/drawing/2014/main" id="{DC0DD530-65A9-5D6D-32F4-E145BF5BD8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940" y="46239"/>
          <a:ext cx="704805" cy="693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723900</xdr:colOff>
          <xdr:row>8</xdr:row>
          <xdr:rowOff>160020</xdr:rowOff>
        </xdr:from>
        <xdr:to>
          <xdr:col>2</xdr:col>
          <xdr:colOff>982980</xdr:colOff>
          <xdr:row>10</xdr:row>
          <xdr:rowOff>7620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3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373380</xdr:colOff>
          <xdr:row>61</xdr:row>
          <xdr:rowOff>160020</xdr:rowOff>
        </xdr:from>
        <xdr:to>
          <xdr:col>3</xdr:col>
          <xdr:colOff>579120</xdr:colOff>
          <xdr:row>63</xdr:row>
          <xdr:rowOff>22860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3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373380</xdr:colOff>
          <xdr:row>62</xdr:row>
          <xdr:rowOff>160020</xdr:rowOff>
        </xdr:from>
        <xdr:to>
          <xdr:col>3</xdr:col>
          <xdr:colOff>579120</xdr:colOff>
          <xdr:row>64</xdr:row>
          <xdr:rowOff>22860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3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373380</xdr:colOff>
          <xdr:row>60</xdr:row>
          <xdr:rowOff>160020</xdr:rowOff>
        </xdr:from>
        <xdr:to>
          <xdr:col>3</xdr:col>
          <xdr:colOff>579120</xdr:colOff>
          <xdr:row>62</xdr:row>
          <xdr:rowOff>22860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3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67</xdr:row>
          <xdr:rowOff>22860</xdr:rowOff>
        </xdr:from>
        <xdr:to>
          <xdr:col>2</xdr:col>
          <xdr:colOff>45720</xdr:colOff>
          <xdr:row>68</xdr:row>
          <xdr:rowOff>45720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3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68</xdr:row>
          <xdr:rowOff>175260</xdr:rowOff>
        </xdr:from>
        <xdr:to>
          <xdr:col>2</xdr:col>
          <xdr:colOff>45720</xdr:colOff>
          <xdr:row>70</xdr:row>
          <xdr:rowOff>30480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3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731520</xdr:colOff>
          <xdr:row>9</xdr:row>
          <xdr:rowOff>152400</xdr:rowOff>
        </xdr:from>
        <xdr:to>
          <xdr:col>2</xdr:col>
          <xdr:colOff>990600</xdr:colOff>
          <xdr:row>11</xdr:row>
          <xdr:rowOff>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3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unifiedportal-mem.epfindia.gov.in/memberinterface/" TargetMode="External"/><Relationship Id="rId1" Type="http://schemas.openxmlformats.org/officeDocument/2006/relationships/hyperlink" Target="https://unifiedportal-mem.epfindia.gov.in/memberinterface/"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2.xml"/><Relationship Id="rId3" Type="http://schemas.openxmlformats.org/officeDocument/2006/relationships/vmlDrawing" Target="../drawings/vmlDrawing2.vml"/><Relationship Id="rId7" Type="http://schemas.openxmlformats.org/officeDocument/2006/relationships/ctrlProp" Target="../ctrlProps/ctrlProp1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0.xml"/><Relationship Id="rId5" Type="http://schemas.openxmlformats.org/officeDocument/2006/relationships/ctrlProp" Target="../ctrlProps/ctrlProp9.xml"/><Relationship Id="rId10" Type="http://schemas.openxmlformats.org/officeDocument/2006/relationships/ctrlProp" Target="../ctrlProps/ctrlProp14.xml"/><Relationship Id="rId4" Type="http://schemas.openxmlformats.org/officeDocument/2006/relationships/ctrlProp" Target="../ctrlProps/ctrlProp8.xml"/><Relationship Id="rId9" Type="http://schemas.openxmlformats.org/officeDocument/2006/relationships/ctrlProp" Target="../ctrlProps/ctrlProp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15E8-9D1D-44F0-9208-75EC2E0D84E5}">
  <sheetPr codeName="Sheet3"/>
  <dimension ref="A1:H184"/>
  <sheetViews>
    <sheetView showGridLines="0" zoomScale="85" zoomScaleNormal="85" workbookViewId="0">
      <pane xSplit="2" ySplit="3" topLeftCell="C10" activePane="bottomRight" state="frozen"/>
      <selection activeCell="A6" sqref="A6:K6"/>
      <selection pane="topRight" activeCell="A6" sqref="A6:K6"/>
      <selection pane="bottomLeft" activeCell="A6" sqref="A6:K6"/>
      <selection pane="bottomRight" activeCell="C12" sqref="C12"/>
    </sheetView>
  </sheetViews>
  <sheetFormatPr defaultColWidth="0" defaultRowHeight="15.6" x14ac:dyDescent="0.3"/>
  <cols>
    <col min="1" max="1" width="13" style="63" customWidth="1"/>
    <col min="2" max="2" width="16.88671875" style="64" customWidth="1"/>
    <col min="3" max="3" width="51.44140625" style="64" customWidth="1"/>
    <col min="4" max="4" width="79.6640625" style="64" bestFit="1" customWidth="1"/>
    <col min="5" max="6" width="13.6640625" style="64" customWidth="1"/>
    <col min="7" max="7" width="24.33203125" style="64" hidden="1" customWidth="1"/>
    <col min="8" max="8" width="24" style="64" hidden="1" customWidth="1"/>
    <col min="9" max="16384" width="13.6640625" style="64" hidden="1"/>
  </cols>
  <sheetData>
    <row r="1" spans="1:4" x14ac:dyDescent="0.3">
      <c r="D1" s="93" t="s">
        <v>211</v>
      </c>
    </row>
    <row r="2" spans="1:4" ht="16.2" thickBot="1" x14ac:dyDescent="0.35">
      <c r="A2" s="168" t="s">
        <v>54</v>
      </c>
      <c r="B2" s="168"/>
      <c r="C2" s="168"/>
    </row>
    <row r="3" spans="1:4" ht="18" customHeight="1" thickBot="1" x14ac:dyDescent="0.35">
      <c r="A3" s="65" t="s">
        <v>8</v>
      </c>
      <c r="B3" s="66" t="s">
        <v>9</v>
      </c>
      <c r="C3" s="66" t="s">
        <v>10</v>
      </c>
      <c r="D3" s="67" t="s">
        <v>80</v>
      </c>
    </row>
    <row r="4" spans="1:4" x14ac:dyDescent="0.3">
      <c r="A4" s="68" t="s">
        <v>11</v>
      </c>
      <c r="B4" s="69" t="s">
        <v>12</v>
      </c>
      <c r="C4" s="69" t="s">
        <v>35</v>
      </c>
      <c r="D4" s="70"/>
    </row>
    <row r="5" spans="1:4" ht="93.6" x14ac:dyDescent="0.3">
      <c r="A5" s="71" t="s">
        <v>13</v>
      </c>
      <c r="B5" s="72" t="s">
        <v>44</v>
      </c>
      <c r="C5" s="72" t="s">
        <v>84</v>
      </c>
      <c r="D5" s="73" t="s">
        <v>81</v>
      </c>
    </row>
    <row r="6" spans="1:4" ht="31.2" x14ac:dyDescent="0.3">
      <c r="A6" s="71" t="s">
        <v>58</v>
      </c>
      <c r="B6" s="72" t="s">
        <v>45</v>
      </c>
      <c r="C6" s="72" t="s">
        <v>77</v>
      </c>
      <c r="D6" s="73" t="s">
        <v>105</v>
      </c>
    </row>
    <row r="7" spans="1:4" ht="46.8" x14ac:dyDescent="0.3">
      <c r="A7" s="71" t="s">
        <v>14</v>
      </c>
      <c r="B7" s="72" t="s">
        <v>68</v>
      </c>
      <c r="C7" s="72"/>
      <c r="D7" s="73"/>
    </row>
    <row r="8" spans="1:4" x14ac:dyDescent="0.3">
      <c r="A8" s="71" t="s">
        <v>15</v>
      </c>
      <c r="B8" s="72" t="s">
        <v>46</v>
      </c>
      <c r="C8" s="72" t="s">
        <v>16</v>
      </c>
      <c r="D8" s="73"/>
    </row>
    <row r="9" spans="1:4" ht="156" x14ac:dyDescent="0.3">
      <c r="A9" s="71" t="s">
        <v>63</v>
      </c>
      <c r="B9" s="72" t="s">
        <v>47</v>
      </c>
      <c r="C9" s="72" t="s">
        <v>61</v>
      </c>
      <c r="D9" s="73" t="s">
        <v>82</v>
      </c>
    </row>
    <row r="10" spans="1:4" ht="62.4" x14ac:dyDescent="0.3">
      <c r="A10" s="71" t="s">
        <v>62</v>
      </c>
      <c r="B10" s="72" t="s">
        <v>48</v>
      </c>
      <c r="C10" s="72" t="s">
        <v>79</v>
      </c>
      <c r="D10" s="73" t="s">
        <v>83</v>
      </c>
    </row>
    <row r="11" spans="1:4" ht="113.1" customHeight="1" x14ac:dyDescent="0.3">
      <c r="A11" s="71" t="s">
        <v>17</v>
      </c>
      <c r="B11" s="72" t="s">
        <v>49</v>
      </c>
      <c r="C11" s="72" t="s">
        <v>85</v>
      </c>
      <c r="D11" s="73" t="s">
        <v>89</v>
      </c>
    </row>
    <row r="12" spans="1:4" ht="218.4" x14ac:dyDescent="0.3">
      <c r="A12" s="71" t="s">
        <v>18</v>
      </c>
      <c r="B12" s="72" t="s">
        <v>50</v>
      </c>
      <c r="C12" s="72" t="s">
        <v>87</v>
      </c>
      <c r="D12" s="73" t="s">
        <v>88</v>
      </c>
    </row>
    <row r="13" spans="1:4" ht="166.8" x14ac:dyDescent="0.3">
      <c r="A13" s="71" t="s">
        <v>19</v>
      </c>
      <c r="B13" s="72" t="s">
        <v>205</v>
      </c>
      <c r="C13" s="72" t="s">
        <v>206</v>
      </c>
      <c r="D13" s="73" t="s">
        <v>209</v>
      </c>
    </row>
    <row r="14" spans="1:4" ht="46.8" x14ac:dyDescent="0.3">
      <c r="A14" s="71" t="s">
        <v>20</v>
      </c>
      <c r="B14" s="72" t="s">
        <v>71</v>
      </c>
      <c r="C14" s="72" t="s">
        <v>78</v>
      </c>
      <c r="D14" s="73" t="s">
        <v>86</v>
      </c>
    </row>
    <row r="15" spans="1:4" ht="155.1" customHeight="1" x14ac:dyDescent="0.3">
      <c r="A15" s="71" t="s">
        <v>22</v>
      </c>
      <c r="B15" s="72" t="s">
        <v>51</v>
      </c>
      <c r="C15" s="72" t="s">
        <v>90</v>
      </c>
      <c r="D15" s="73" t="s">
        <v>96</v>
      </c>
    </row>
    <row r="16" spans="1:4" ht="31.2" x14ac:dyDescent="0.3">
      <c r="A16" s="71" t="s">
        <v>24</v>
      </c>
      <c r="B16" s="72" t="s">
        <v>60</v>
      </c>
      <c r="C16" s="72" t="s">
        <v>98</v>
      </c>
      <c r="D16" s="73" t="s">
        <v>57</v>
      </c>
    </row>
    <row r="17" spans="1:8" ht="140.4" x14ac:dyDescent="0.3">
      <c r="A17" s="71" t="s">
        <v>64</v>
      </c>
      <c r="B17" s="72" t="s">
        <v>52</v>
      </c>
      <c r="C17" s="72" t="s">
        <v>100</v>
      </c>
      <c r="D17" s="73" t="s">
        <v>101</v>
      </c>
    </row>
    <row r="18" spans="1:8" ht="31.2" x14ac:dyDescent="0.3">
      <c r="A18" s="71" t="s">
        <v>26</v>
      </c>
      <c r="B18" s="72" t="s">
        <v>53</v>
      </c>
      <c r="C18" s="74" t="s">
        <v>21</v>
      </c>
      <c r="D18" s="73"/>
    </row>
    <row r="19" spans="1:8" ht="31.2" x14ac:dyDescent="0.3">
      <c r="A19" s="71" t="s">
        <v>28</v>
      </c>
      <c r="B19" s="72" t="s">
        <v>23</v>
      </c>
      <c r="C19" s="72"/>
      <c r="D19" s="73"/>
    </row>
    <row r="20" spans="1:8" ht="31.2" x14ac:dyDescent="0.3">
      <c r="A20" s="71" t="s">
        <v>30</v>
      </c>
      <c r="B20" s="72" t="s">
        <v>102</v>
      </c>
      <c r="C20" s="72"/>
      <c r="D20" s="73"/>
    </row>
    <row r="21" spans="1:8" ht="46.8" x14ac:dyDescent="0.3">
      <c r="A21" s="71" t="s">
        <v>32</v>
      </c>
      <c r="B21" s="72" t="s">
        <v>25</v>
      </c>
      <c r="C21" s="72"/>
      <c r="D21" s="73"/>
    </row>
    <row r="22" spans="1:8" ht="31.2" x14ac:dyDescent="0.3">
      <c r="A22" s="71" t="s">
        <v>34</v>
      </c>
      <c r="B22" s="72" t="s">
        <v>27</v>
      </c>
      <c r="C22" s="72"/>
      <c r="D22" s="73"/>
    </row>
    <row r="23" spans="1:8" ht="31.2" x14ac:dyDescent="0.3">
      <c r="A23" s="71" t="s">
        <v>59</v>
      </c>
      <c r="B23" s="72" t="s">
        <v>29</v>
      </c>
      <c r="C23" s="72"/>
      <c r="D23" s="73"/>
    </row>
    <row r="24" spans="1:8" ht="31.2" x14ac:dyDescent="0.3">
      <c r="A24" s="71" t="s">
        <v>65</v>
      </c>
      <c r="B24" s="72" t="s">
        <v>31</v>
      </c>
      <c r="C24" s="72"/>
      <c r="D24" s="73"/>
    </row>
    <row r="25" spans="1:8" ht="31.2" x14ac:dyDescent="0.3">
      <c r="A25" s="71" t="s">
        <v>66</v>
      </c>
      <c r="B25" s="72" t="s">
        <v>33</v>
      </c>
      <c r="C25" s="72"/>
      <c r="D25" s="73"/>
    </row>
    <row r="26" spans="1:8" ht="63" thickBot="1" x14ac:dyDescent="0.35">
      <c r="A26" s="75" t="s">
        <v>67</v>
      </c>
      <c r="B26" s="76" t="s">
        <v>56</v>
      </c>
      <c r="C26" s="76"/>
      <c r="D26" s="77"/>
    </row>
    <row r="27" spans="1:8" x14ac:dyDescent="0.3">
      <c r="A27" s="78"/>
      <c r="B27" s="78"/>
    </row>
    <row r="30" spans="1:8" x14ac:dyDescent="0.3">
      <c r="G30" s="64" t="s">
        <v>372</v>
      </c>
      <c r="H30" s="64" t="s">
        <v>373</v>
      </c>
    </row>
    <row r="31" spans="1:8" x14ac:dyDescent="0.3">
      <c r="G31" s="64" t="s">
        <v>218</v>
      </c>
      <c r="H31" s="64" t="s">
        <v>374</v>
      </c>
    </row>
    <row r="32" spans="1:8" x14ac:dyDescent="0.3">
      <c r="G32" s="64" t="s">
        <v>219</v>
      </c>
      <c r="H32" s="64" t="s">
        <v>375</v>
      </c>
    </row>
    <row r="33" spans="7:8" x14ac:dyDescent="0.3">
      <c r="G33" s="64" t="s">
        <v>220</v>
      </c>
      <c r="H33" s="64" t="s">
        <v>376</v>
      </c>
    </row>
    <row r="34" spans="7:8" x14ac:dyDescent="0.3">
      <c r="G34" s="64" t="s">
        <v>221</v>
      </c>
      <c r="H34" s="64" t="s">
        <v>377</v>
      </c>
    </row>
    <row r="35" spans="7:8" x14ac:dyDescent="0.3">
      <c r="G35" s="64" t="s">
        <v>222</v>
      </c>
      <c r="H35" s="64" t="s">
        <v>378</v>
      </c>
    </row>
    <row r="36" spans="7:8" x14ac:dyDescent="0.3">
      <c r="G36" s="64" t="s">
        <v>223</v>
      </c>
      <c r="H36" s="64" t="s">
        <v>379</v>
      </c>
    </row>
    <row r="37" spans="7:8" x14ac:dyDescent="0.3">
      <c r="G37" s="64" t="s">
        <v>224</v>
      </c>
      <c r="H37" s="64" t="s">
        <v>380</v>
      </c>
    </row>
    <row r="38" spans="7:8" x14ac:dyDescent="0.3">
      <c r="G38" s="64" t="s">
        <v>225</v>
      </c>
      <c r="H38" s="64" t="s">
        <v>381</v>
      </c>
    </row>
    <row r="39" spans="7:8" x14ac:dyDescent="0.3">
      <c r="G39" s="64" t="s">
        <v>226</v>
      </c>
      <c r="H39" s="64" t="s">
        <v>382</v>
      </c>
    </row>
    <row r="40" spans="7:8" x14ac:dyDescent="0.3">
      <c r="G40" s="64" t="s">
        <v>227</v>
      </c>
      <c r="H40" s="64" t="s">
        <v>383</v>
      </c>
    </row>
    <row r="41" spans="7:8" x14ac:dyDescent="0.3">
      <c r="G41" s="64" t="s">
        <v>228</v>
      </c>
      <c r="H41" s="64" t="s">
        <v>384</v>
      </c>
    </row>
    <row r="42" spans="7:8" x14ac:dyDescent="0.3">
      <c r="G42" s="64" t="s">
        <v>229</v>
      </c>
      <c r="H42" s="64" t="s">
        <v>385</v>
      </c>
    </row>
    <row r="43" spans="7:8" x14ac:dyDescent="0.3">
      <c r="G43" s="64" t="s">
        <v>230</v>
      </c>
      <c r="H43" s="64" t="s">
        <v>386</v>
      </c>
    </row>
    <row r="44" spans="7:8" x14ac:dyDescent="0.3">
      <c r="G44" s="64" t="s">
        <v>231</v>
      </c>
      <c r="H44" s="64" t="s">
        <v>387</v>
      </c>
    </row>
    <row r="45" spans="7:8" x14ac:dyDescent="0.3">
      <c r="G45" s="64" t="s">
        <v>232</v>
      </c>
      <c r="H45" s="64" t="s">
        <v>388</v>
      </c>
    </row>
    <row r="46" spans="7:8" x14ac:dyDescent="0.3">
      <c r="G46" s="64" t="s">
        <v>233</v>
      </c>
      <c r="H46" s="64" t="s">
        <v>389</v>
      </c>
    </row>
    <row r="47" spans="7:8" x14ac:dyDescent="0.3">
      <c r="G47" s="64" t="s">
        <v>234</v>
      </c>
      <c r="H47" s="64" t="s">
        <v>390</v>
      </c>
    </row>
    <row r="48" spans="7:8" x14ac:dyDescent="0.3">
      <c r="G48" s="64" t="s">
        <v>235</v>
      </c>
      <c r="H48" s="64" t="s">
        <v>391</v>
      </c>
    </row>
    <row r="49" spans="7:8" x14ac:dyDescent="0.3">
      <c r="G49" s="64" t="s">
        <v>236</v>
      </c>
      <c r="H49" s="64" t="s">
        <v>392</v>
      </c>
    </row>
    <row r="50" spans="7:8" x14ac:dyDescent="0.3">
      <c r="G50" s="64" t="s">
        <v>237</v>
      </c>
      <c r="H50" s="64" t="s">
        <v>393</v>
      </c>
    </row>
    <row r="51" spans="7:8" x14ac:dyDescent="0.3">
      <c r="G51" s="64" t="s">
        <v>238</v>
      </c>
      <c r="H51" s="64" t="s">
        <v>394</v>
      </c>
    </row>
    <row r="52" spans="7:8" x14ac:dyDescent="0.3">
      <c r="G52" s="64" t="s">
        <v>239</v>
      </c>
      <c r="H52" s="64" t="s">
        <v>395</v>
      </c>
    </row>
    <row r="53" spans="7:8" x14ac:dyDescent="0.3">
      <c r="G53" s="64" t="s">
        <v>240</v>
      </c>
      <c r="H53" s="64" t="s">
        <v>396</v>
      </c>
    </row>
    <row r="54" spans="7:8" x14ac:dyDescent="0.3">
      <c r="G54" s="64" t="s">
        <v>241</v>
      </c>
      <c r="H54" s="64" t="s">
        <v>397</v>
      </c>
    </row>
    <row r="55" spans="7:8" x14ac:dyDescent="0.3">
      <c r="G55" s="64" t="s">
        <v>242</v>
      </c>
      <c r="H55" s="64" t="s">
        <v>398</v>
      </c>
    </row>
    <row r="56" spans="7:8" x14ac:dyDescent="0.3">
      <c r="G56" s="64" t="s">
        <v>243</v>
      </c>
      <c r="H56" s="64" t="s">
        <v>399</v>
      </c>
    </row>
    <row r="57" spans="7:8" x14ac:dyDescent="0.3">
      <c r="G57" s="64" t="s">
        <v>244</v>
      </c>
      <c r="H57" s="64" t="s">
        <v>400</v>
      </c>
    </row>
    <row r="58" spans="7:8" x14ac:dyDescent="0.3">
      <c r="G58" s="64" t="s">
        <v>245</v>
      </c>
      <c r="H58" s="64" t="s">
        <v>401</v>
      </c>
    </row>
    <row r="59" spans="7:8" x14ac:dyDescent="0.3">
      <c r="G59" s="64" t="s">
        <v>246</v>
      </c>
      <c r="H59" s="64" t="s">
        <v>402</v>
      </c>
    </row>
    <row r="60" spans="7:8" x14ac:dyDescent="0.3">
      <c r="G60" s="64" t="s">
        <v>247</v>
      </c>
      <c r="H60" s="64" t="s">
        <v>403</v>
      </c>
    </row>
    <row r="61" spans="7:8" x14ac:dyDescent="0.3">
      <c r="G61" s="64" t="s">
        <v>404</v>
      </c>
      <c r="H61" s="64" t="s">
        <v>405</v>
      </c>
    </row>
    <row r="62" spans="7:8" x14ac:dyDescent="0.3">
      <c r="G62" s="64" t="s">
        <v>248</v>
      </c>
      <c r="H62" s="64" t="s">
        <v>406</v>
      </c>
    </row>
    <row r="63" spans="7:8" x14ac:dyDescent="0.3">
      <c r="G63" s="64" t="s">
        <v>249</v>
      </c>
      <c r="H63" s="64" t="s">
        <v>407</v>
      </c>
    </row>
    <row r="64" spans="7:8" x14ac:dyDescent="0.3">
      <c r="G64" s="64" t="s">
        <v>250</v>
      </c>
      <c r="H64" s="64" t="s">
        <v>408</v>
      </c>
    </row>
    <row r="65" spans="7:8" x14ac:dyDescent="0.3">
      <c r="G65" s="64" t="s">
        <v>251</v>
      </c>
      <c r="H65" s="64" t="s">
        <v>409</v>
      </c>
    </row>
    <row r="66" spans="7:8" x14ac:dyDescent="0.3">
      <c r="G66" s="64" t="s">
        <v>252</v>
      </c>
      <c r="H66" s="64" t="s">
        <v>410</v>
      </c>
    </row>
    <row r="67" spans="7:8" x14ac:dyDescent="0.3">
      <c r="G67" s="64" t="s">
        <v>253</v>
      </c>
      <c r="H67" s="64" t="s">
        <v>411</v>
      </c>
    </row>
    <row r="68" spans="7:8" x14ac:dyDescent="0.3">
      <c r="G68" s="64" t="s">
        <v>254</v>
      </c>
      <c r="H68" s="64" t="s">
        <v>412</v>
      </c>
    </row>
    <row r="69" spans="7:8" x14ac:dyDescent="0.3">
      <c r="G69" s="64" t="s">
        <v>255</v>
      </c>
      <c r="H69" s="64" t="s">
        <v>413</v>
      </c>
    </row>
    <row r="70" spans="7:8" x14ac:dyDescent="0.3">
      <c r="G70" s="64" t="s">
        <v>256</v>
      </c>
      <c r="H70" s="64" t="s">
        <v>414</v>
      </c>
    </row>
    <row r="71" spans="7:8" x14ac:dyDescent="0.3">
      <c r="G71" s="64" t="s">
        <v>257</v>
      </c>
      <c r="H71" s="64" t="s">
        <v>415</v>
      </c>
    </row>
    <row r="72" spans="7:8" x14ac:dyDescent="0.3">
      <c r="G72" s="64" t="s">
        <v>258</v>
      </c>
      <c r="H72" s="64" t="s">
        <v>416</v>
      </c>
    </row>
    <row r="73" spans="7:8" x14ac:dyDescent="0.3">
      <c r="G73" s="64" t="s">
        <v>259</v>
      </c>
      <c r="H73" s="64" t="s">
        <v>417</v>
      </c>
    </row>
    <row r="74" spans="7:8" x14ac:dyDescent="0.3">
      <c r="G74" s="64" t="s">
        <v>260</v>
      </c>
      <c r="H74" s="64" t="s">
        <v>418</v>
      </c>
    </row>
    <row r="75" spans="7:8" x14ac:dyDescent="0.3">
      <c r="G75" s="64" t="s">
        <v>261</v>
      </c>
      <c r="H75" s="64" t="s">
        <v>419</v>
      </c>
    </row>
    <row r="76" spans="7:8" x14ac:dyDescent="0.3">
      <c r="G76" s="64" t="s">
        <v>262</v>
      </c>
      <c r="H76" s="64" t="s">
        <v>419</v>
      </c>
    </row>
    <row r="77" spans="7:8" x14ac:dyDescent="0.3">
      <c r="G77" s="64" t="s">
        <v>263</v>
      </c>
      <c r="H77" s="64" t="s">
        <v>420</v>
      </c>
    </row>
    <row r="78" spans="7:8" x14ac:dyDescent="0.3">
      <c r="G78" s="64" t="s">
        <v>264</v>
      </c>
      <c r="H78" s="64" t="s">
        <v>421</v>
      </c>
    </row>
    <row r="79" spans="7:8" x14ac:dyDescent="0.3">
      <c r="G79" s="64" t="s">
        <v>265</v>
      </c>
      <c r="H79" s="64" t="s">
        <v>422</v>
      </c>
    </row>
    <row r="80" spans="7:8" x14ac:dyDescent="0.3">
      <c r="G80" s="64" t="s">
        <v>266</v>
      </c>
      <c r="H80" s="64" t="s">
        <v>423</v>
      </c>
    </row>
    <row r="81" spans="7:8" x14ac:dyDescent="0.3">
      <c r="G81" s="64" t="s">
        <v>267</v>
      </c>
      <c r="H81" s="64" t="s">
        <v>424</v>
      </c>
    </row>
    <row r="82" spans="7:8" x14ac:dyDescent="0.3">
      <c r="G82" s="64" t="s">
        <v>268</v>
      </c>
      <c r="H82" s="64" t="s">
        <v>425</v>
      </c>
    </row>
    <row r="83" spans="7:8" x14ac:dyDescent="0.3">
      <c r="G83" s="64" t="s">
        <v>269</v>
      </c>
      <c r="H83" s="64" t="s">
        <v>426</v>
      </c>
    </row>
    <row r="84" spans="7:8" x14ac:dyDescent="0.3">
      <c r="G84" s="64" t="s">
        <v>270</v>
      </c>
      <c r="H84" s="64" t="s">
        <v>427</v>
      </c>
    </row>
    <row r="85" spans="7:8" x14ac:dyDescent="0.3">
      <c r="G85" s="64" t="s">
        <v>271</v>
      </c>
      <c r="H85" s="64" t="s">
        <v>428</v>
      </c>
    </row>
    <row r="86" spans="7:8" x14ac:dyDescent="0.3">
      <c r="G86" s="64" t="s">
        <v>272</v>
      </c>
      <c r="H86" s="64" t="s">
        <v>429</v>
      </c>
    </row>
    <row r="87" spans="7:8" x14ac:dyDescent="0.3">
      <c r="G87" s="64" t="s">
        <v>273</v>
      </c>
      <c r="H87" s="64" t="s">
        <v>430</v>
      </c>
    </row>
    <row r="88" spans="7:8" x14ac:dyDescent="0.3">
      <c r="G88" s="64" t="s">
        <v>274</v>
      </c>
      <c r="H88" s="64" t="s">
        <v>431</v>
      </c>
    </row>
    <row r="89" spans="7:8" x14ac:dyDescent="0.3">
      <c r="G89" s="64" t="s">
        <v>275</v>
      </c>
      <c r="H89" s="64" t="s">
        <v>432</v>
      </c>
    </row>
    <row r="90" spans="7:8" x14ac:dyDescent="0.3">
      <c r="G90" s="64" t="s">
        <v>276</v>
      </c>
      <c r="H90" s="64" t="s">
        <v>433</v>
      </c>
    </row>
    <row r="91" spans="7:8" x14ac:dyDescent="0.3">
      <c r="G91" s="64" t="s">
        <v>277</v>
      </c>
      <c r="H91" s="64" t="s">
        <v>434</v>
      </c>
    </row>
    <row r="92" spans="7:8" x14ac:dyDescent="0.3">
      <c r="G92" s="64" t="s">
        <v>278</v>
      </c>
      <c r="H92" s="64" t="s">
        <v>435</v>
      </c>
    </row>
    <row r="93" spans="7:8" x14ac:dyDescent="0.3">
      <c r="G93" s="64" t="s">
        <v>279</v>
      </c>
      <c r="H93" s="64" t="s">
        <v>436</v>
      </c>
    </row>
    <row r="94" spans="7:8" x14ac:dyDescent="0.3">
      <c r="G94" s="64" t="s">
        <v>280</v>
      </c>
      <c r="H94" s="64" t="s">
        <v>437</v>
      </c>
    </row>
    <row r="95" spans="7:8" x14ac:dyDescent="0.3">
      <c r="G95" s="64" t="s">
        <v>281</v>
      </c>
      <c r="H95" s="64" t="s">
        <v>438</v>
      </c>
    </row>
    <row r="96" spans="7:8" x14ac:dyDescent="0.3">
      <c r="G96" s="64" t="s">
        <v>282</v>
      </c>
      <c r="H96" s="64" t="s">
        <v>439</v>
      </c>
    </row>
    <row r="97" spans="7:8" x14ac:dyDescent="0.3">
      <c r="G97" s="64" t="s">
        <v>283</v>
      </c>
      <c r="H97" s="64" t="s">
        <v>440</v>
      </c>
    </row>
    <row r="98" spans="7:8" x14ac:dyDescent="0.3">
      <c r="G98" s="64" t="s">
        <v>284</v>
      </c>
      <c r="H98" s="64" t="s">
        <v>441</v>
      </c>
    </row>
    <row r="99" spans="7:8" x14ac:dyDescent="0.3">
      <c r="G99" s="64" t="s">
        <v>285</v>
      </c>
      <c r="H99" s="64" t="s">
        <v>442</v>
      </c>
    </row>
    <row r="100" spans="7:8" x14ac:dyDescent="0.3">
      <c r="G100" s="64" t="s">
        <v>286</v>
      </c>
      <c r="H100" s="64" t="s">
        <v>443</v>
      </c>
    </row>
    <row r="101" spans="7:8" x14ac:dyDescent="0.3">
      <c r="G101" s="64" t="s">
        <v>287</v>
      </c>
      <c r="H101" s="64" t="s">
        <v>444</v>
      </c>
    </row>
    <row r="102" spans="7:8" x14ac:dyDescent="0.3">
      <c r="G102" s="64" t="s">
        <v>288</v>
      </c>
      <c r="H102" s="64" t="s">
        <v>371</v>
      </c>
    </row>
    <row r="103" spans="7:8" x14ac:dyDescent="0.3">
      <c r="G103" s="64" t="s">
        <v>289</v>
      </c>
      <c r="H103" s="64" t="s">
        <v>445</v>
      </c>
    </row>
    <row r="104" spans="7:8" x14ac:dyDescent="0.3">
      <c r="G104" s="64" t="s">
        <v>290</v>
      </c>
      <c r="H104" s="64" t="s">
        <v>446</v>
      </c>
    </row>
    <row r="105" spans="7:8" x14ac:dyDescent="0.3">
      <c r="G105" s="64" t="s">
        <v>291</v>
      </c>
      <c r="H105" s="64" t="s">
        <v>447</v>
      </c>
    </row>
    <row r="106" spans="7:8" x14ac:dyDescent="0.3">
      <c r="G106" s="64" t="s">
        <v>292</v>
      </c>
      <c r="H106" s="64" t="s">
        <v>448</v>
      </c>
    </row>
    <row r="107" spans="7:8" x14ac:dyDescent="0.3">
      <c r="G107" s="64" t="s">
        <v>293</v>
      </c>
      <c r="H107" s="64" t="s">
        <v>449</v>
      </c>
    </row>
    <row r="108" spans="7:8" x14ac:dyDescent="0.3">
      <c r="G108" s="64" t="s">
        <v>294</v>
      </c>
      <c r="H108" s="64" t="s">
        <v>450</v>
      </c>
    </row>
    <row r="109" spans="7:8" x14ac:dyDescent="0.3">
      <c r="G109" s="64" t="s">
        <v>295</v>
      </c>
      <c r="H109" s="64" t="s">
        <v>451</v>
      </c>
    </row>
    <row r="110" spans="7:8" x14ac:dyDescent="0.3">
      <c r="G110" s="64" t="s">
        <v>296</v>
      </c>
      <c r="H110" s="64" t="s">
        <v>452</v>
      </c>
    </row>
    <row r="111" spans="7:8" x14ac:dyDescent="0.3">
      <c r="G111" s="64" t="s">
        <v>297</v>
      </c>
      <c r="H111" s="64" t="s">
        <v>453</v>
      </c>
    </row>
    <row r="112" spans="7:8" x14ac:dyDescent="0.3">
      <c r="G112" s="64" t="s">
        <v>298</v>
      </c>
      <c r="H112" s="64" t="s">
        <v>454</v>
      </c>
    </row>
    <row r="113" spans="7:8" x14ac:dyDescent="0.3">
      <c r="G113" s="64" t="s">
        <v>299</v>
      </c>
      <c r="H113" s="64" t="s">
        <v>455</v>
      </c>
    </row>
    <row r="114" spans="7:8" x14ac:dyDescent="0.3">
      <c r="G114" s="64" t="s">
        <v>300</v>
      </c>
      <c r="H114" s="64" t="s">
        <v>456</v>
      </c>
    </row>
    <row r="115" spans="7:8" x14ac:dyDescent="0.3">
      <c r="G115" s="64" t="s">
        <v>301</v>
      </c>
      <c r="H115" s="64" t="s">
        <v>457</v>
      </c>
    </row>
    <row r="116" spans="7:8" x14ac:dyDescent="0.3">
      <c r="G116" s="64" t="s">
        <v>302</v>
      </c>
      <c r="H116" s="64" t="s">
        <v>458</v>
      </c>
    </row>
    <row r="117" spans="7:8" x14ac:dyDescent="0.3">
      <c r="G117" s="64" t="s">
        <v>303</v>
      </c>
      <c r="H117" s="64" t="s">
        <v>459</v>
      </c>
    </row>
    <row r="118" spans="7:8" x14ac:dyDescent="0.3">
      <c r="G118" s="64" t="s">
        <v>304</v>
      </c>
      <c r="H118" s="64" t="s">
        <v>460</v>
      </c>
    </row>
    <row r="119" spans="7:8" x14ac:dyDescent="0.3">
      <c r="G119" s="64" t="s">
        <v>305</v>
      </c>
      <c r="H119" s="64" t="s">
        <v>461</v>
      </c>
    </row>
    <row r="120" spans="7:8" x14ac:dyDescent="0.3">
      <c r="G120" s="64" t="s">
        <v>306</v>
      </c>
      <c r="H120" s="64" t="s">
        <v>462</v>
      </c>
    </row>
    <row r="121" spans="7:8" x14ac:dyDescent="0.3">
      <c r="G121" s="64" t="s">
        <v>307</v>
      </c>
      <c r="H121" s="64" t="s">
        <v>463</v>
      </c>
    </row>
    <row r="122" spans="7:8" x14ac:dyDescent="0.3">
      <c r="G122" s="64" t="s">
        <v>308</v>
      </c>
      <c r="H122" s="64" t="s">
        <v>464</v>
      </c>
    </row>
    <row r="123" spans="7:8" x14ac:dyDescent="0.3">
      <c r="G123" s="64" t="s">
        <v>309</v>
      </c>
      <c r="H123" s="64" t="s">
        <v>465</v>
      </c>
    </row>
    <row r="124" spans="7:8" x14ac:dyDescent="0.3">
      <c r="G124" s="64" t="s">
        <v>310</v>
      </c>
      <c r="H124" s="64" t="s">
        <v>466</v>
      </c>
    </row>
    <row r="125" spans="7:8" x14ac:dyDescent="0.3">
      <c r="G125" s="64" t="s">
        <v>311</v>
      </c>
      <c r="H125" s="64" t="s">
        <v>467</v>
      </c>
    </row>
    <row r="126" spans="7:8" x14ac:dyDescent="0.3">
      <c r="G126" s="64" t="s">
        <v>312</v>
      </c>
      <c r="H126" s="64" t="s">
        <v>468</v>
      </c>
    </row>
    <row r="127" spans="7:8" x14ac:dyDescent="0.3">
      <c r="G127" s="64" t="s">
        <v>313</v>
      </c>
      <c r="H127" s="64" t="s">
        <v>469</v>
      </c>
    </row>
    <row r="128" spans="7:8" x14ac:dyDescent="0.3">
      <c r="G128" s="64" t="s">
        <v>314</v>
      </c>
      <c r="H128" s="64" t="s">
        <v>470</v>
      </c>
    </row>
    <row r="129" spans="7:8" x14ac:dyDescent="0.3">
      <c r="G129" s="64" t="s">
        <v>315</v>
      </c>
      <c r="H129" s="64" t="s">
        <v>471</v>
      </c>
    </row>
    <row r="130" spans="7:8" x14ac:dyDescent="0.3">
      <c r="G130" s="64" t="s">
        <v>316</v>
      </c>
      <c r="H130" s="64" t="s">
        <v>472</v>
      </c>
    </row>
    <row r="131" spans="7:8" x14ac:dyDescent="0.3">
      <c r="G131" s="64" t="s">
        <v>317</v>
      </c>
      <c r="H131" s="64" t="s">
        <v>473</v>
      </c>
    </row>
    <row r="132" spans="7:8" x14ac:dyDescent="0.3">
      <c r="G132" s="64" t="s">
        <v>318</v>
      </c>
      <c r="H132" s="64" t="s">
        <v>474</v>
      </c>
    </row>
    <row r="133" spans="7:8" x14ac:dyDescent="0.3">
      <c r="G133" s="64" t="s">
        <v>319</v>
      </c>
      <c r="H133" s="64" t="s">
        <v>475</v>
      </c>
    </row>
    <row r="134" spans="7:8" x14ac:dyDescent="0.3">
      <c r="G134" s="64" t="s">
        <v>320</v>
      </c>
      <c r="H134" s="64" t="s">
        <v>476</v>
      </c>
    </row>
    <row r="135" spans="7:8" x14ac:dyDescent="0.3">
      <c r="G135" s="64" t="s">
        <v>321</v>
      </c>
      <c r="H135" s="64" t="s">
        <v>477</v>
      </c>
    </row>
    <row r="136" spans="7:8" x14ac:dyDescent="0.3">
      <c r="G136" s="64" t="s">
        <v>322</v>
      </c>
      <c r="H136" s="64" t="s">
        <v>478</v>
      </c>
    </row>
    <row r="137" spans="7:8" x14ac:dyDescent="0.3">
      <c r="G137" s="64" t="s">
        <v>323</v>
      </c>
      <c r="H137" s="64" t="s">
        <v>479</v>
      </c>
    </row>
    <row r="138" spans="7:8" x14ac:dyDescent="0.3">
      <c r="G138" s="64" t="s">
        <v>324</v>
      </c>
      <c r="H138" s="64" t="s">
        <v>480</v>
      </c>
    </row>
    <row r="139" spans="7:8" x14ac:dyDescent="0.3">
      <c r="G139" s="64" t="s">
        <v>325</v>
      </c>
      <c r="H139" s="64" t="s">
        <v>481</v>
      </c>
    </row>
    <row r="140" spans="7:8" x14ac:dyDescent="0.3">
      <c r="G140" s="64" t="s">
        <v>326</v>
      </c>
      <c r="H140" s="64" t="s">
        <v>482</v>
      </c>
    </row>
    <row r="141" spans="7:8" x14ac:dyDescent="0.3">
      <c r="G141" s="64" t="s">
        <v>327</v>
      </c>
      <c r="H141" s="64" t="s">
        <v>483</v>
      </c>
    </row>
    <row r="142" spans="7:8" x14ac:dyDescent="0.3">
      <c r="G142" s="64" t="s">
        <v>328</v>
      </c>
      <c r="H142" s="64" t="s">
        <v>484</v>
      </c>
    </row>
    <row r="143" spans="7:8" x14ac:dyDescent="0.3">
      <c r="G143" s="64" t="s">
        <v>329</v>
      </c>
      <c r="H143" s="64" t="s">
        <v>485</v>
      </c>
    </row>
    <row r="144" spans="7:8" x14ac:dyDescent="0.3">
      <c r="G144" s="64" t="s">
        <v>330</v>
      </c>
      <c r="H144" s="64" t="s">
        <v>486</v>
      </c>
    </row>
    <row r="145" spans="7:8" x14ac:dyDescent="0.3">
      <c r="G145" s="64" t="s">
        <v>331</v>
      </c>
      <c r="H145" s="64" t="s">
        <v>487</v>
      </c>
    </row>
    <row r="146" spans="7:8" x14ac:dyDescent="0.3">
      <c r="G146" s="64" t="s">
        <v>332</v>
      </c>
      <c r="H146" s="64" t="s">
        <v>488</v>
      </c>
    </row>
    <row r="147" spans="7:8" x14ac:dyDescent="0.3">
      <c r="G147" s="64" t="s">
        <v>333</v>
      </c>
      <c r="H147" s="64" t="s">
        <v>489</v>
      </c>
    </row>
    <row r="148" spans="7:8" x14ac:dyDescent="0.3">
      <c r="G148" s="64" t="s">
        <v>334</v>
      </c>
      <c r="H148" s="64" t="s">
        <v>490</v>
      </c>
    </row>
    <row r="149" spans="7:8" x14ac:dyDescent="0.3">
      <c r="G149" s="64" t="s">
        <v>335</v>
      </c>
      <c r="H149" s="64" t="s">
        <v>491</v>
      </c>
    </row>
    <row r="150" spans="7:8" x14ac:dyDescent="0.3">
      <c r="G150" s="64" t="s">
        <v>336</v>
      </c>
      <c r="H150" s="64" t="s">
        <v>492</v>
      </c>
    </row>
    <row r="151" spans="7:8" x14ac:dyDescent="0.3">
      <c r="G151" s="64" t="s">
        <v>337</v>
      </c>
      <c r="H151" s="64" t="s">
        <v>493</v>
      </c>
    </row>
    <row r="152" spans="7:8" x14ac:dyDescent="0.3">
      <c r="G152" s="64" t="s">
        <v>338</v>
      </c>
      <c r="H152" s="64" t="s">
        <v>494</v>
      </c>
    </row>
    <row r="153" spans="7:8" x14ac:dyDescent="0.3">
      <c r="G153" s="64" t="s">
        <v>339</v>
      </c>
      <c r="H153" s="64" t="s">
        <v>495</v>
      </c>
    </row>
    <row r="154" spans="7:8" x14ac:dyDescent="0.3">
      <c r="G154" s="64" t="s">
        <v>340</v>
      </c>
      <c r="H154" s="64" t="s">
        <v>496</v>
      </c>
    </row>
    <row r="155" spans="7:8" x14ac:dyDescent="0.3">
      <c r="G155" s="64" t="s">
        <v>341</v>
      </c>
      <c r="H155" s="64" t="s">
        <v>497</v>
      </c>
    </row>
    <row r="156" spans="7:8" x14ac:dyDescent="0.3">
      <c r="G156" s="64" t="s">
        <v>342</v>
      </c>
      <c r="H156" s="64" t="s">
        <v>498</v>
      </c>
    </row>
    <row r="157" spans="7:8" x14ac:dyDescent="0.3">
      <c r="G157" s="64" t="s">
        <v>343</v>
      </c>
      <c r="H157" s="64" t="s">
        <v>499</v>
      </c>
    </row>
    <row r="158" spans="7:8" x14ac:dyDescent="0.3">
      <c r="G158" s="64" t="s">
        <v>344</v>
      </c>
      <c r="H158" s="64" t="s">
        <v>500</v>
      </c>
    </row>
    <row r="159" spans="7:8" x14ac:dyDescent="0.3">
      <c r="G159" s="64" t="s">
        <v>345</v>
      </c>
      <c r="H159" s="64" t="s">
        <v>501</v>
      </c>
    </row>
    <row r="160" spans="7:8" x14ac:dyDescent="0.3">
      <c r="G160" s="64" t="s">
        <v>346</v>
      </c>
      <c r="H160" s="64" t="s">
        <v>502</v>
      </c>
    </row>
    <row r="161" spans="7:8" x14ac:dyDescent="0.3">
      <c r="G161" s="64" t="s">
        <v>347</v>
      </c>
      <c r="H161" s="64" t="s">
        <v>503</v>
      </c>
    </row>
    <row r="162" spans="7:8" x14ac:dyDescent="0.3">
      <c r="G162" s="64" t="s">
        <v>348</v>
      </c>
      <c r="H162" s="64" t="s">
        <v>504</v>
      </c>
    </row>
    <row r="163" spans="7:8" x14ac:dyDescent="0.3">
      <c r="G163" s="64" t="s">
        <v>349</v>
      </c>
      <c r="H163" s="64" t="s">
        <v>505</v>
      </c>
    </row>
    <row r="164" spans="7:8" x14ac:dyDescent="0.3">
      <c r="G164" s="64" t="s">
        <v>350</v>
      </c>
      <c r="H164" s="64" t="s">
        <v>506</v>
      </c>
    </row>
    <row r="165" spans="7:8" x14ac:dyDescent="0.3">
      <c r="G165" s="64" t="s">
        <v>351</v>
      </c>
      <c r="H165" s="64" t="s">
        <v>507</v>
      </c>
    </row>
    <row r="166" spans="7:8" x14ac:dyDescent="0.3">
      <c r="G166" s="64" t="s">
        <v>352</v>
      </c>
      <c r="H166" s="64" t="s">
        <v>508</v>
      </c>
    </row>
    <row r="167" spans="7:8" x14ac:dyDescent="0.3">
      <c r="G167" s="64" t="s">
        <v>353</v>
      </c>
      <c r="H167" s="64" t="s">
        <v>509</v>
      </c>
    </row>
    <row r="168" spans="7:8" x14ac:dyDescent="0.3">
      <c r="G168" s="64" t="s">
        <v>354</v>
      </c>
      <c r="H168" s="64" t="s">
        <v>510</v>
      </c>
    </row>
    <row r="169" spans="7:8" x14ac:dyDescent="0.3">
      <c r="G169" s="64" t="s">
        <v>355</v>
      </c>
      <c r="H169" s="64" t="s">
        <v>511</v>
      </c>
    </row>
    <row r="170" spans="7:8" x14ac:dyDescent="0.3">
      <c r="G170" s="64" t="s">
        <v>356</v>
      </c>
      <c r="H170" s="64" t="s">
        <v>512</v>
      </c>
    </row>
    <row r="171" spans="7:8" x14ac:dyDescent="0.3">
      <c r="G171" s="64" t="s">
        <v>357</v>
      </c>
      <c r="H171" s="64" t="s">
        <v>513</v>
      </c>
    </row>
    <row r="172" spans="7:8" x14ac:dyDescent="0.3">
      <c r="G172" s="64" t="s">
        <v>358</v>
      </c>
      <c r="H172" s="64" t="s">
        <v>514</v>
      </c>
    </row>
    <row r="173" spans="7:8" x14ac:dyDescent="0.3">
      <c r="G173" s="64" t="s">
        <v>359</v>
      </c>
      <c r="H173" s="64" t="s">
        <v>515</v>
      </c>
    </row>
    <row r="174" spans="7:8" x14ac:dyDescent="0.3">
      <c r="G174" s="64" t="s">
        <v>360</v>
      </c>
      <c r="H174" s="64" t="s">
        <v>516</v>
      </c>
    </row>
    <row r="175" spans="7:8" x14ac:dyDescent="0.3">
      <c r="G175" s="64" t="s">
        <v>361</v>
      </c>
      <c r="H175" s="64" t="s">
        <v>525</v>
      </c>
    </row>
    <row r="176" spans="7:8" x14ac:dyDescent="0.3">
      <c r="G176" s="64" t="s">
        <v>362</v>
      </c>
      <c r="H176" s="64" t="s">
        <v>526</v>
      </c>
    </row>
    <row r="177" spans="7:8" x14ac:dyDescent="0.3">
      <c r="G177" s="64" t="s">
        <v>363</v>
      </c>
      <c r="H177" s="64" t="s">
        <v>517</v>
      </c>
    </row>
    <row r="178" spans="7:8" x14ac:dyDescent="0.3">
      <c r="G178" s="64" t="s">
        <v>364</v>
      </c>
      <c r="H178" s="64" t="s">
        <v>518</v>
      </c>
    </row>
    <row r="179" spans="7:8" x14ac:dyDescent="0.3">
      <c r="G179" s="64" t="s">
        <v>365</v>
      </c>
      <c r="H179" s="64" t="s">
        <v>519</v>
      </c>
    </row>
    <row r="180" spans="7:8" x14ac:dyDescent="0.3">
      <c r="G180" s="64" t="s">
        <v>366</v>
      </c>
      <c r="H180" s="64" t="s">
        <v>520</v>
      </c>
    </row>
    <row r="181" spans="7:8" x14ac:dyDescent="0.3">
      <c r="G181" s="64" t="s">
        <v>367</v>
      </c>
      <c r="H181" s="64" t="s">
        <v>521</v>
      </c>
    </row>
    <row r="182" spans="7:8" x14ac:dyDescent="0.3">
      <c r="G182" s="64" t="s">
        <v>368</v>
      </c>
      <c r="H182" s="64" t="s">
        <v>522</v>
      </c>
    </row>
    <row r="183" spans="7:8" x14ac:dyDescent="0.3">
      <c r="G183" s="64" t="s">
        <v>369</v>
      </c>
      <c r="H183" s="64" t="s">
        <v>523</v>
      </c>
    </row>
    <row r="184" spans="7:8" x14ac:dyDescent="0.3">
      <c r="G184" s="64" t="s">
        <v>370</v>
      </c>
      <c r="H184" s="64" t="s">
        <v>524</v>
      </c>
    </row>
  </sheetData>
  <sheetProtection algorithmName="SHA-512" hashValue="IbMjjwg0p5SuA+iC3mCyUfFexGkXxqzu0uVnXmb5YEFtMlkgIw+2U9KejTT6hklOlN4ty3bSvPCGC0cid+JB7w==" saltValue="IFdZBk+rp1yt41cAAJQ23A==" spinCount="100000" sheet="1" objects="1" scenarios="1"/>
  <mergeCells count="1">
    <mergeCell ref="A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2FC9A-B709-4FCB-81B9-0D5FD949F832}">
  <sheetPr codeName="Sheet4"/>
  <dimension ref="A1:E36"/>
  <sheetViews>
    <sheetView showGridLines="0" topLeftCell="A12" zoomScaleNormal="100" workbookViewId="0">
      <selection activeCell="E11" sqref="E11"/>
    </sheetView>
  </sheetViews>
  <sheetFormatPr defaultColWidth="0" defaultRowHeight="14.4" zeroHeight="1" x14ac:dyDescent="0.3"/>
  <cols>
    <col min="1" max="1" width="3.88671875" customWidth="1"/>
    <col min="2" max="2" width="79.5546875" customWidth="1"/>
    <col min="3" max="3" width="16" customWidth="1"/>
    <col min="4" max="4" width="79.5546875" customWidth="1"/>
    <col min="5" max="5" width="9.109375" customWidth="1"/>
    <col min="6" max="16384" width="9.109375" hidden="1"/>
  </cols>
  <sheetData>
    <row r="1" spans="2:4" ht="15" thickBot="1" x14ac:dyDescent="0.35"/>
    <row r="2" spans="2:4" ht="15.6" x14ac:dyDescent="0.3">
      <c r="B2" s="45" t="s">
        <v>168</v>
      </c>
      <c r="D2" s="45" t="s">
        <v>212</v>
      </c>
    </row>
    <row r="3" spans="2:4" ht="16.2" thickBot="1" x14ac:dyDescent="0.35">
      <c r="B3" s="60"/>
      <c r="D3" s="61"/>
    </row>
    <row r="4" spans="2:4" ht="15.6" x14ac:dyDescent="0.3">
      <c r="B4" s="48" t="s">
        <v>169</v>
      </c>
      <c r="D4" s="48" t="s">
        <v>208</v>
      </c>
    </row>
    <row r="5" spans="2:4" x14ac:dyDescent="0.3">
      <c r="B5" s="50" t="s">
        <v>182</v>
      </c>
      <c r="D5" s="50" t="s">
        <v>207</v>
      </c>
    </row>
    <row r="6" spans="2:4" x14ac:dyDescent="0.3">
      <c r="B6" s="50" t="s">
        <v>183</v>
      </c>
      <c r="D6" s="50" t="s">
        <v>185</v>
      </c>
    </row>
    <row r="7" spans="2:4" x14ac:dyDescent="0.3">
      <c r="B7" s="50" t="s">
        <v>184</v>
      </c>
      <c r="D7" s="49"/>
    </row>
    <row r="8" spans="2:4" ht="15" thickBot="1" x14ac:dyDescent="0.35">
      <c r="B8" s="50" t="s">
        <v>185</v>
      </c>
      <c r="D8" s="49"/>
    </row>
    <row r="9" spans="2:4" x14ac:dyDescent="0.3">
      <c r="B9" s="55"/>
      <c r="D9" s="57"/>
    </row>
    <row r="10" spans="2:4" ht="15.6" x14ac:dyDescent="0.3">
      <c r="B10" s="46" t="s">
        <v>170</v>
      </c>
      <c r="D10" s="46" t="s">
        <v>170</v>
      </c>
    </row>
    <row r="11" spans="2:4" x14ac:dyDescent="0.3">
      <c r="B11" s="47" t="s">
        <v>171</v>
      </c>
      <c r="D11" s="47" t="s">
        <v>181</v>
      </c>
    </row>
    <row r="12" spans="2:4" x14ac:dyDescent="0.3">
      <c r="B12" s="47" t="s">
        <v>172</v>
      </c>
      <c r="D12" s="51" t="s">
        <v>180</v>
      </c>
    </row>
    <row r="13" spans="2:4" x14ac:dyDescent="0.3">
      <c r="B13" s="47" t="s">
        <v>173</v>
      </c>
      <c r="D13" s="47" t="s">
        <v>178</v>
      </c>
    </row>
    <row r="14" spans="2:4" x14ac:dyDescent="0.3">
      <c r="B14" s="47" t="s">
        <v>188</v>
      </c>
      <c r="D14" s="54" t="s">
        <v>194</v>
      </c>
    </row>
    <row r="15" spans="2:4" x14ac:dyDescent="0.3">
      <c r="B15" s="47" t="s">
        <v>199</v>
      </c>
      <c r="D15" s="54" t="s">
        <v>195</v>
      </c>
    </row>
    <row r="16" spans="2:4" x14ac:dyDescent="0.3">
      <c r="B16" s="47" t="s">
        <v>174</v>
      </c>
      <c r="D16" s="47" t="s">
        <v>196</v>
      </c>
    </row>
    <row r="17" spans="2:4" x14ac:dyDescent="0.3">
      <c r="B17" s="47" t="s">
        <v>175</v>
      </c>
      <c r="D17" s="47" t="s">
        <v>193</v>
      </c>
    </row>
    <row r="18" spans="2:4" x14ac:dyDescent="0.3">
      <c r="B18" s="54" t="s">
        <v>201</v>
      </c>
      <c r="D18" s="54" t="s">
        <v>197</v>
      </c>
    </row>
    <row r="19" spans="2:4" x14ac:dyDescent="0.3">
      <c r="B19" s="54" t="s">
        <v>200</v>
      </c>
      <c r="D19" s="47" t="s">
        <v>198</v>
      </c>
    </row>
    <row r="20" spans="2:4" x14ac:dyDescent="0.3">
      <c r="B20" s="54"/>
      <c r="D20" s="47" t="s">
        <v>179</v>
      </c>
    </row>
    <row r="21" spans="2:4" ht="16.2" thickBot="1" x14ac:dyDescent="0.35">
      <c r="B21" s="56"/>
      <c r="D21" s="58"/>
    </row>
    <row r="22" spans="2:4" ht="15.6" x14ac:dyDescent="0.3">
      <c r="B22" s="52" t="s">
        <v>189</v>
      </c>
      <c r="D22" s="52" t="s">
        <v>202</v>
      </c>
    </row>
    <row r="23" spans="2:4" x14ac:dyDescent="0.3">
      <c r="B23" s="53" t="s">
        <v>190</v>
      </c>
      <c r="D23" s="53" t="s">
        <v>181</v>
      </c>
    </row>
    <row r="24" spans="2:4" x14ac:dyDescent="0.3">
      <c r="B24" s="53" t="s">
        <v>191</v>
      </c>
      <c r="D24" s="62" t="s">
        <v>180</v>
      </c>
    </row>
    <row r="25" spans="2:4" x14ac:dyDescent="0.3">
      <c r="B25" s="53" t="s">
        <v>192</v>
      </c>
      <c r="D25" s="53" t="s">
        <v>176</v>
      </c>
    </row>
    <row r="26" spans="2:4" x14ac:dyDescent="0.3">
      <c r="B26" s="59" t="s">
        <v>203</v>
      </c>
      <c r="D26" s="53" t="s">
        <v>177</v>
      </c>
    </row>
    <row r="27" spans="2:4" x14ac:dyDescent="0.3">
      <c r="B27" s="59" t="s">
        <v>204</v>
      </c>
      <c r="D27" s="53" t="s">
        <v>186</v>
      </c>
    </row>
    <row r="28" spans="2:4" x14ac:dyDescent="0.3">
      <c r="B28" s="59"/>
      <c r="D28" s="53" t="s">
        <v>187</v>
      </c>
    </row>
    <row r="29" spans="2:4" ht="15" thickBot="1" x14ac:dyDescent="0.35">
      <c r="B29" s="94" t="s">
        <v>527</v>
      </c>
      <c r="D29" s="94" t="s">
        <v>527</v>
      </c>
    </row>
    <row r="30" spans="2:4" ht="15.6" x14ac:dyDescent="0.3">
      <c r="B30" s="44"/>
    </row>
    <row r="33" customFormat="1" hidden="1" x14ac:dyDescent="0.3"/>
    <row r="34" customFormat="1" hidden="1" x14ac:dyDescent="0.3"/>
    <row r="35" customFormat="1" hidden="1" x14ac:dyDescent="0.3"/>
    <row r="36" customFormat="1" hidden="1" x14ac:dyDescent="0.3"/>
  </sheetData>
  <sheetProtection algorithmName="SHA-512" hashValue="0uEXdY3AEKIAhkG8FMT7orxkkP7wCgWn+pKxkYesOVES5yaZ4Nl+SULXlqXJ77BCGilWbSz5SC/O7pCvI7lkcA==" saltValue="DjbrLashsg42/I42hd6oDQ==" spinCount="100000" sheet="1" objects="1" scenarios="1"/>
  <hyperlinks>
    <hyperlink ref="D12" r:id="rId1" xr:uid="{F55BAA6B-7E9C-4C96-8ACE-37AA30A32E4A}"/>
    <hyperlink ref="D24" r:id="rId2" xr:uid="{2194FBF7-E604-4E5A-BE5E-E4D2CE0DF446}"/>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0A6FC-64FF-40A0-9945-122CE04B0324}">
  <sheetPr codeName="Sheet2"/>
  <dimension ref="A1:AY156"/>
  <sheetViews>
    <sheetView showGridLines="0" tabSelected="1" zoomScale="78" zoomScaleNormal="100" workbookViewId="0">
      <selection activeCell="N5" sqref="N5"/>
    </sheetView>
  </sheetViews>
  <sheetFormatPr defaultColWidth="8.6640625" defaultRowHeight="15.6" x14ac:dyDescent="0.25"/>
  <cols>
    <col min="1" max="1" width="14.33203125" style="2" customWidth="1"/>
    <col min="2" max="2" width="44.44140625" style="2" bestFit="1" customWidth="1"/>
    <col min="3" max="3" width="27.109375" style="2" bestFit="1" customWidth="1"/>
    <col min="4" max="4" width="14.109375" style="2" bestFit="1" customWidth="1"/>
    <col min="5" max="5" width="9.33203125" style="2" bestFit="1" customWidth="1"/>
    <col min="6" max="11" width="6.6640625" style="2" customWidth="1"/>
    <col min="12" max="12" width="32.44140625" style="2" bestFit="1" customWidth="1"/>
    <col min="13" max="13" width="19.5546875" style="2" bestFit="1" customWidth="1"/>
    <col min="14" max="14" width="30" style="2" customWidth="1"/>
    <col min="15" max="15" width="19.88671875" style="2" customWidth="1"/>
    <col min="16" max="17" width="19.109375" style="2" customWidth="1"/>
    <col min="18" max="18" width="16" style="2" bestFit="1" customWidth="1"/>
    <col min="19" max="19" width="36.6640625" style="2" customWidth="1"/>
    <col min="20" max="20" width="14.44140625" style="2" bestFit="1" customWidth="1"/>
    <col min="21" max="21" width="10.44140625" style="2" bestFit="1" customWidth="1"/>
    <col min="22" max="23" width="15.44140625" style="2" bestFit="1" customWidth="1"/>
    <col min="24" max="24" width="12.88671875" style="2" bestFit="1" customWidth="1"/>
    <col min="25" max="25" width="15.44140625" style="2" bestFit="1" customWidth="1"/>
    <col min="26" max="27" width="14.88671875" style="2" bestFit="1" customWidth="1"/>
    <col min="28" max="28" width="8.6640625" style="2" customWidth="1"/>
    <col min="29" max="29" width="18.6640625" style="2" bestFit="1" customWidth="1"/>
    <col min="30" max="38" width="8.6640625" style="2"/>
    <col min="39" max="39" width="3.6640625" style="35" customWidth="1"/>
    <col min="40" max="40" width="1.44140625" style="35" customWidth="1"/>
    <col min="41" max="41" width="14.6640625" style="35" customWidth="1"/>
    <col min="42" max="42" width="11.33203125" style="35" customWidth="1"/>
    <col min="43" max="43" width="12.44140625" style="35" customWidth="1"/>
    <col min="44" max="44" width="11" style="35" customWidth="1"/>
    <col min="45" max="45" width="11.109375" style="35" customWidth="1"/>
    <col min="46" max="46" width="10.5546875" style="35" customWidth="1"/>
    <col min="47" max="47" width="10.88671875" style="35" customWidth="1"/>
    <col min="48" max="48" width="9.6640625" style="35" customWidth="1"/>
    <col min="49" max="49" width="0.88671875" style="35" customWidth="1"/>
    <col min="50" max="50" width="10.5546875" style="19" customWidth="1"/>
    <col min="51" max="16384" width="8.6640625" style="2"/>
  </cols>
  <sheetData>
    <row r="1" spans="1:51" ht="17.399999999999999" x14ac:dyDescent="0.25">
      <c r="A1" s="14" t="s">
        <v>72</v>
      </c>
      <c r="B1" s="1"/>
      <c r="C1" s="1"/>
      <c r="D1" s="1"/>
    </row>
    <row r="2" spans="1:51" ht="16.2" thickBot="1" x14ac:dyDescent="0.3">
      <c r="A2" s="3">
        <f>IF(MAX(LEN(A5),0)=0,"P",1)</f>
        <v>1</v>
      </c>
      <c r="B2" s="3">
        <f>IF(MAX(LEN(B5),0)=0,"P",1)</f>
        <v>1</v>
      </c>
      <c r="C2" s="3">
        <f>IF(MAX(LEN(C5),0)=0,"P",1)</f>
        <v>1</v>
      </c>
      <c r="D2" s="3">
        <f>IF(MAX(LEN(D5),0)=0,"P",1)</f>
        <v>1</v>
      </c>
      <c r="E2" s="3">
        <f t="shared" ref="E2:S2" si="0">IF(MAX(LEN(E5),0)=0,"P",1)</f>
        <v>1</v>
      </c>
      <c r="F2" s="3">
        <f t="shared" si="0"/>
        <v>1</v>
      </c>
      <c r="G2" s="3">
        <f t="shared" si="0"/>
        <v>1</v>
      </c>
      <c r="H2" s="3">
        <f t="shared" si="0"/>
        <v>1</v>
      </c>
      <c r="I2" s="3">
        <f t="shared" si="0"/>
        <v>1</v>
      </c>
      <c r="J2" s="3">
        <f t="shared" si="0"/>
        <v>1</v>
      </c>
      <c r="K2" s="3">
        <f t="shared" si="0"/>
        <v>1</v>
      </c>
      <c r="L2" s="3">
        <f t="shared" si="0"/>
        <v>1</v>
      </c>
      <c r="M2" s="3">
        <f t="shared" si="0"/>
        <v>1</v>
      </c>
      <c r="N2" s="3"/>
      <c r="O2" s="3">
        <f t="shared" si="0"/>
        <v>1</v>
      </c>
      <c r="P2" s="3">
        <f t="shared" si="0"/>
        <v>1</v>
      </c>
      <c r="Q2" s="3">
        <f t="shared" si="0"/>
        <v>1</v>
      </c>
      <c r="R2" s="3">
        <f t="shared" si="0"/>
        <v>1</v>
      </c>
      <c r="S2" s="3">
        <f t="shared" si="0"/>
        <v>1</v>
      </c>
    </row>
    <row r="3" spans="1:51" s="4" customFormat="1" x14ac:dyDescent="0.25">
      <c r="A3" s="102" t="e">
        <f>UPPER(IF(LEN(A5)&gt;0,"Err - Mandatory field - "&amp;HLOOKUP("P",B2:AA4,3,0),""))</f>
        <v>#N/A</v>
      </c>
      <c r="B3" s="103"/>
      <c r="C3" s="104"/>
      <c r="D3" s="17"/>
      <c r="E3" s="18"/>
      <c r="F3" s="105" t="s">
        <v>73</v>
      </c>
      <c r="G3" s="106"/>
      <c r="H3" s="107"/>
      <c r="I3" s="105" t="s">
        <v>215</v>
      </c>
      <c r="J3" s="106"/>
      <c r="K3" s="107"/>
      <c r="L3" s="16"/>
      <c r="M3" s="15"/>
      <c r="N3" s="15"/>
      <c r="O3" s="15"/>
      <c r="P3" s="15"/>
      <c r="Q3" s="15"/>
      <c r="R3" s="15"/>
      <c r="S3" s="15"/>
      <c r="T3" s="99"/>
      <c r="U3" s="100"/>
      <c r="V3" s="100"/>
      <c r="W3" s="100"/>
      <c r="X3" s="100"/>
      <c r="Y3" s="100"/>
      <c r="Z3" s="100"/>
      <c r="AA3" s="101"/>
      <c r="AL3" s="2"/>
      <c r="AM3" s="35"/>
      <c r="AN3" s="35"/>
      <c r="AO3" s="35"/>
      <c r="AP3" s="35"/>
      <c r="AQ3" s="35"/>
      <c r="AR3" s="35"/>
      <c r="AS3" s="35"/>
      <c r="AT3" s="35"/>
      <c r="AU3" s="35"/>
      <c r="AV3" s="35"/>
      <c r="AW3" s="35"/>
      <c r="AX3" s="19"/>
      <c r="AY3" s="2"/>
    </row>
    <row r="4" spans="1:51" ht="78" x14ac:dyDescent="0.25">
      <c r="A4" s="9" t="s">
        <v>213</v>
      </c>
      <c r="B4" s="5" t="s">
        <v>36</v>
      </c>
      <c r="C4" s="5" t="s">
        <v>214</v>
      </c>
      <c r="D4" s="5" t="s">
        <v>37</v>
      </c>
      <c r="E4" s="5" t="s">
        <v>38</v>
      </c>
      <c r="F4" s="6" t="s">
        <v>74</v>
      </c>
      <c r="G4" s="6" t="s">
        <v>75</v>
      </c>
      <c r="H4" s="6" t="s">
        <v>76</v>
      </c>
      <c r="I4" s="7" t="s">
        <v>74</v>
      </c>
      <c r="J4" s="7" t="s">
        <v>75</v>
      </c>
      <c r="K4" s="7" t="s">
        <v>76</v>
      </c>
      <c r="L4" s="8" t="s">
        <v>39</v>
      </c>
      <c r="M4" s="8" t="s">
        <v>40</v>
      </c>
      <c r="N4" s="5" t="s">
        <v>210</v>
      </c>
      <c r="O4" s="5" t="s">
        <v>70</v>
      </c>
      <c r="P4" s="9" t="s">
        <v>41</v>
      </c>
      <c r="Q4" s="5" t="s">
        <v>3</v>
      </c>
      <c r="R4" s="5" t="s">
        <v>42</v>
      </c>
      <c r="S4" s="5" t="s">
        <v>43</v>
      </c>
      <c r="T4" s="10" t="s">
        <v>0</v>
      </c>
      <c r="U4" s="10" t="s">
        <v>2</v>
      </c>
      <c r="V4" s="10" t="s">
        <v>4</v>
      </c>
      <c r="W4" s="10" t="s">
        <v>5</v>
      </c>
      <c r="X4" s="10" t="s">
        <v>1</v>
      </c>
      <c r="Y4" s="10" t="s">
        <v>6</v>
      </c>
      <c r="Z4" s="10" t="s">
        <v>7</v>
      </c>
      <c r="AA4" s="10" t="s">
        <v>55</v>
      </c>
      <c r="AC4" s="86" t="s">
        <v>69</v>
      </c>
    </row>
    <row r="5" spans="1:51" ht="22.5" customHeight="1" x14ac:dyDescent="0.25">
      <c r="A5" s="12">
        <v>1011558376</v>
      </c>
      <c r="B5" s="11" t="s">
        <v>529</v>
      </c>
      <c r="C5" s="11" t="s">
        <v>530</v>
      </c>
      <c r="D5" s="11" t="s">
        <v>531</v>
      </c>
      <c r="E5" s="11" t="s">
        <v>532</v>
      </c>
      <c r="F5" s="12">
        <v>17</v>
      </c>
      <c r="G5" s="12">
        <v>7</v>
      </c>
      <c r="H5" s="12">
        <v>1996</v>
      </c>
      <c r="I5" s="12">
        <v>5</v>
      </c>
      <c r="J5" s="12">
        <v>10</v>
      </c>
      <c r="K5" s="12">
        <v>2026</v>
      </c>
      <c r="L5" s="11" t="s">
        <v>533</v>
      </c>
      <c r="M5" s="11" t="s">
        <v>535</v>
      </c>
      <c r="N5" s="12">
        <v>101006584039</v>
      </c>
      <c r="O5" s="11" t="s">
        <v>534</v>
      </c>
      <c r="P5" s="12">
        <v>474820507890</v>
      </c>
      <c r="Q5" s="12">
        <v>9130721182</v>
      </c>
      <c r="R5" s="11" t="s">
        <v>535</v>
      </c>
      <c r="S5" s="11" t="s">
        <v>371</v>
      </c>
      <c r="T5" s="11"/>
      <c r="U5" s="11"/>
      <c r="V5" s="11"/>
      <c r="W5" s="11"/>
      <c r="X5" s="11"/>
      <c r="Y5" s="11"/>
      <c r="Z5" s="11"/>
      <c r="AA5" s="11"/>
      <c r="AC5" s="87" t="str">
        <f>IF(AND(ISERROR(SUM(LEFT(O5,1))),ISERROR(SUM(MID(O5,2,1))),ISERROR(SUM(MID(O5,3,1))),ISERROR(SUM(MID(O5,4,1))),ISERROR(SUM(MID(O5,5,1))),ISNUMBER(SUM(MID(O5,6,1),MID(O5,7,1),MID(O5,8,1),MID(O5,9,1))),ISERROR(SUM(RIGHT(O5,1)))),"OK","CHECK")</f>
        <v>OK</v>
      </c>
    </row>
    <row r="6" spans="1:51" ht="142.5" customHeight="1" x14ac:dyDescent="0.25">
      <c r="A6" s="3"/>
      <c r="B6" s="88" t="s">
        <v>91</v>
      </c>
      <c r="C6" s="3"/>
      <c r="D6" s="3"/>
      <c r="F6" s="98" t="s">
        <v>92</v>
      </c>
      <c r="G6" s="98"/>
      <c r="H6" s="98"/>
      <c r="I6" s="98" t="s">
        <v>217</v>
      </c>
      <c r="J6" s="98"/>
      <c r="K6" s="98"/>
      <c r="L6" s="88" t="s">
        <v>94</v>
      </c>
      <c r="M6" s="88" t="s">
        <v>216</v>
      </c>
      <c r="N6" s="88" t="s">
        <v>95</v>
      </c>
      <c r="O6" s="88" t="s">
        <v>93</v>
      </c>
      <c r="P6" s="88" t="s">
        <v>97</v>
      </c>
      <c r="Q6" s="88" t="s">
        <v>99</v>
      </c>
      <c r="R6" s="88" t="s">
        <v>103</v>
      </c>
      <c r="S6" s="89" t="s">
        <v>104</v>
      </c>
      <c r="T6" s="97" t="s">
        <v>528</v>
      </c>
      <c r="U6" s="95"/>
      <c r="V6" s="95"/>
      <c r="W6" s="95"/>
      <c r="X6" s="95"/>
      <c r="Y6" s="95"/>
      <c r="Z6" s="95"/>
      <c r="AA6" s="96"/>
    </row>
    <row r="7" spans="1:51" x14ac:dyDescent="0.25">
      <c r="B7" s="13"/>
      <c r="L7" s="13"/>
    </row>
    <row r="31" spans="51:51" x14ac:dyDescent="0.25">
      <c r="AY31" s="4"/>
    </row>
    <row r="52" ht="28.5" customHeight="1" x14ac:dyDescent="0.25"/>
    <row r="56" ht="57.75" customHeight="1" x14ac:dyDescent="0.25"/>
    <row r="78" spans="38:50" x14ac:dyDescent="0.25">
      <c r="AM78" s="108" t="s">
        <v>146</v>
      </c>
      <c r="AN78" s="109"/>
      <c r="AO78" s="109"/>
      <c r="AP78" s="109"/>
      <c r="AQ78" s="109"/>
      <c r="AR78" s="109"/>
      <c r="AS78" s="109"/>
      <c r="AT78" s="109"/>
      <c r="AU78" s="109"/>
      <c r="AV78" s="109"/>
      <c r="AW78" s="110"/>
      <c r="AX78" s="82"/>
    </row>
    <row r="79" spans="38:50" x14ac:dyDescent="0.25">
      <c r="AM79" s="111" t="s">
        <v>147</v>
      </c>
      <c r="AN79" s="112"/>
      <c r="AO79" s="112"/>
      <c r="AP79" s="112"/>
      <c r="AQ79" s="112"/>
      <c r="AR79" s="112"/>
      <c r="AS79" s="112"/>
      <c r="AT79" s="112"/>
      <c r="AU79" s="112"/>
      <c r="AV79" s="112"/>
      <c r="AW79" s="113"/>
      <c r="AX79" s="82"/>
    </row>
    <row r="80" spans="38:50" x14ac:dyDescent="0.25">
      <c r="AL80" s="4"/>
      <c r="AM80" s="114" t="s">
        <v>148</v>
      </c>
      <c r="AN80" s="115"/>
      <c r="AO80" s="115"/>
      <c r="AP80" s="115"/>
      <c r="AQ80" s="115"/>
      <c r="AR80" s="115"/>
      <c r="AS80" s="115"/>
      <c r="AT80" s="115"/>
      <c r="AU80" s="115"/>
      <c r="AV80" s="115"/>
      <c r="AW80" s="116"/>
      <c r="AX80" s="82"/>
    </row>
    <row r="81" spans="39:50" x14ac:dyDescent="0.25">
      <c r="AM81" s="117" t="s">
        <v>150</v>
      </c>
      <c r="AN81" s="118"/>
      <c r="AO81" s="118"/>
      <c r="AP81" s="118"/>
      <c r="AQ81" s="118"/>
      <c r="AR81" s="118"/>
      <c r="AS81" s="118"/>
      <c r="AT81" s="118"/>
      <c r="AU81" s="118"/>
      <c r="AV81" s="118"/>
      <c r="AW81" s="119"/>
      <c r="AX81" s="82"/>
    </row>
    <row r="82" spans="39:50" x14ac:dyDescent="0.25">
      <c r="AM82" s="117" t="s">
        <v>149</v>
      </c>
      <c r="AN82" s="118"/>
      <c r="AO82" s="118"/>
      <c r="AP82" s="118"/>
      <c r="AQ82" s="118"/>
      <c r="AR82" s="118"/>
      <c r="AS82" s="118"/>
      <c r="AT82" s="118"/>
      <c r="AU82" s="118"/>
      <c r="AV82" s="118"/>
      <c r="AW82" s="119"/>
      <c r="AX82" s="82"/>
    </row>
    <row r="83" spans="39:50" x14ac:dyDescent="0.25">
      <c r="AM83" s="120" t="s">
        <v>151</v>
      </c>
      <c r="AN83" s="121"/>
      <c r="AO83" s="121"/>
      <c r="AP83" s="121"/>
      <c r="AQ83" s="121"/>
      <c r="AR83" s="121"/>
      <c r="AS83" s="121"/>
      <c r="AT83" s="121"/>
      <c r="AU83" s="121"/>
      <c r="AV83" s="121"/>
      <c r="AW83" s="122"/>
      <c r="AX83" s="82"/>
    </row>
    <row r="84" spans="39:50" x14ac:dyDescent="0.3">
      <c r="AM84" s="81"/>
      <c r="AN84" s="79"/>
      <c r="AO84" s="79"/>
      <c r="AP84" s="79"/>
      <c r="AQ84" s="79"/>
      <c r="AR84" s="79"/>
      <c r="AS84" s="79"/>
      <c r="AT84" s="79"/>
      <c r="AU84" s="79"/>
      <c r="AV84" s="79"/>
      <c r="AW84" s="80"/>
      <c r="AX84" s="82"/>
    </row>
    <row r="85" spans="39:50" x14ac:dyDescent="0.25">
      <c r="AM85" s="82"/>
      <c r="AN85" s="19"/>
      <c r="AO85" s="19"/>
      <c r="AP85" s="19"/>
      <c r="AQ85" s="19"/>
      <c r="AR85" s="19"/>
      <c r="AS85" s="35" t="s">
        <v>152</v>
      </c>
      <c r="AT85" s="83">
        <f>IF('Form 11 Format'!$A$5="","",'Form 11 Format'!$A$5)</f>
        <v>1011558376</v>
      </c>
      <c r="AU85" s="19"/>
      <c r="AV85" s="19"/>
      <c r="AW85" s="22"/>
      <c r="AX85" s="82"/>
    </row>
    <row r="86" spans="39:50" x14ac:dyDescent="0.25">
      <c r="AM86" s="32">
        <v>1</v>
      </c>
      <c r="AN86" s="123" t="s">
        <v>106</v>
      </c>
      <c r="AO86" s="124"/>
      <c r="AP86" s="124"/>
      <c r="AQ86" s="124"/>
      <c r="AR86" s="125"/>
      <c r="AS86" s="126" t="str">
        <f>IF('Form 11 Format'!$B$5="","",UPPER('Form 11 Format'!$B$5))</f>
        <v>NISHA NIKHIL KADAM</v>
      </c>
      <c r="AT86" s="127"/>
      <c r="AU86" s="127"/>
      <c r="AV86" s="127"/>
      <c r="AW86" s="128"/>
      <c r="AX86" s="82"/>
    </row>
    <row r="87" spans="39:50" x14ac:dyDescent="0.25">
      <c r="AM87" s="129"/>
      <c r="AN87" s="130" t="s">
        <v>107</v>
      </c>
      <c r="AO87" s="131"/>
      <c r="AP87" s="131"/>
      <c r="AQ87" s="131"/>
      <c r="AR87" s="132"/>
      <c r="AS87" s="133" t="str" cm="1">
        <f t="array" ref="AS87">_xlfn.SWITCH(TRUE(),('Form 11 Format'!$D$5)="Father",('Form 11 Format'!$C$5),"")</f>
        <v/>
      </c>
      <c r="AT87" s="134"/>
      <c r="AU87" s="134"/>
      <c r="AV87" s="134"/>
      <c r="AW87" s="135"/>
      <c r="AX87" s="82"/>
    </row>
    <row r="88" spans="39:50" x14ac:dyDescent="0.25">
      <c r="AM88" s="129"/>
      <c r="AN88" s="136" t="s">
        <v>108</v>
      </c>
      <c r="AO88" s="137"/>
      <c r="AP88" s="137"/>
      <c r="AQ88" s="137"/>
      <c r="AR88" s="138"/>
      <c r="AS88" s="139" t="str" cm="1">
        <f t="array" ref="AS88">_xlfn.SWITCH(TRUE(),('Form 11 Format'!$D$5)="Husband",('Form 11 Format'!$C$5),"")</f>
        <v>Nikhil Maruti Kadam</v>
      </c>
      <c r="AT88" s="140"/>
      <c r="AU88" s="140"/>
      <c r="AV88" s="140"/>
      <c r="AW88" s="141"/>
      <c r="AX88" s="82"/>
    </row>
    <row r="89" spans="39:50" x14ac:dyDescent="0.25">
      <c r="AM89" s="32">
        <v>3</v>
      </c>
      <c r="AN89" s="123" t="s">
        <v>126</v>
      </c>
      <c r="AO89" s="124"/>
      <c r="AP89" s="124"/>
      <c r="AQ89" s="124"/>
      <c r="AR89" s="125"/>
      <c r="AS89" s="142" t="str">
        <f>'Form 11 Format'!$F$5&amp;"-"&amp;'Form 11 Format'!$G$5&amp;"-"&amp;'Form 11 Format'!$H$5</f>
        <v>17-7-1996</v>
      </c>
      <c r="AT89" s="127"/>
      <c r="AU89" s="127"/>
      <c r="AV89" s="127"/>
      <c r="AW89" s="128"/>
      <c r="AX89" s="82"/>
    </row>
    <row r="90" spans="39:50" x14ac:dyDescent="0.25">
      <c r="AM90" s="32">
        <v>4</v>
      </c>
      <c r="AN90" s="123" t="s">
        <v>109</v>
      </c>
      <c r="AO90" s="124"/>
      <c r="AP90" s="124"/>
      <c r="AQ90" s="124"/>
      <c r="AR90" s="125"/>
      <c r="AS90" s="126"/>
      <c r="AT90" s="127"/>
      <c r="AU90" s="127"/>
      <c r="AV90" s="127"/>
      <c r="AW90" s="128"/>
      <c r="AX90" s="82"/>
    </row>
    <row r="91" spans="39:50" x14ac:dyDescent="0.25">
      <c r="AM91" s="32">
        <v>5</v>
      </c>
      <c r="AN91" s="123" t="s">
        <v>110</v>
      </c>
      <c r="AO91" s="124"/>
      <c r="AP91" s="124"/>
      <c r="AQ91" s="124"/>
      <c r="AR91" s="125"/>
      <c r="AS91" s="126" t="str">
        <f>UPPER('Form 11 Format'!$E$5)</f>
        <v>MARRIED</v>
      </c>
      <c r="AT91" s="127"/>
      <c r="AU91" s="127"/>
      <c r="AV91" s="127"/>
      <c r="AW91" s="128"/>
      <c r="AX91" s="82"/>
    </row>
    <row r="92" spans="39:50" x14ac:dyDescent="0.25">
      <c r="AM92" s="129">
        <v>6</v>
      </c>
      <c r="AN92" s="130" t="s">
        <v>111</v>
      </c>
      <c r="AO92" s="131"/>
      <c r="AP92" s="131"/>
      <c r="AQ92" s="131"/>
      <c r="AR92" s="132"/>
      <c r="AS92" s="133"/>
      <c r="AT92" s="134"/>
      <c r="AU92" s="134"/>
      <c r="AV92" s="134"/>
      <c r="AW92" s="135"/>
      <c r="AX92" s="82"/>
    </row>
    <row r="93" spans="39:50" x14ac:dyDescent="0.25">
      <c r="AM93" s="129"/>
      <c r="AN93" s="136" t="s">
        <v>112</v>
      </c>
      <c r="AO93" s="137"/>
      <c r="AP93" s="137"/>
      <c r="AQ93" s="137"/>
      <c r="AR93" s="138"/>
      <c r="AS93" s="143">
        <f>IF('Form 11 Format'!$Q$5="","",'Form 11 Format'!$Q$5)</f>
        <v>9130721182</v>
      </c>
      <c r="AT93" s="140"/>
      <c r="AU93" s="140"/>
      <c r="AV93" s="140"/>
      <c r="AW93" s="141"/>
      <c r="AX93" s="82"/>
    </row>
    <row r="94" spans="39:50" x14ac:dyDescent="0.25">
      <c r="AM94" s="129">
        <v>7</v>
      </c>
      <c r="AN94" s="123" t="s">
        <v>113</v>
      </c>
      <c r="AO94" s="124"/>
      <c r="AP94" s="124"/>
      <c r="AQ94" s="124"/>
      <c r="AR94" s="125"/>
      <c r="AS94" s="126"/>
      <c r="AT94" s="127"/>
      <c r="AU94" s="127"/>
      <c r="AV94" s="127"/>
      <c r="AW94" s="128"/>
      <c r="AX94" s="82"/>
    </row>
    <row r="95" spans="39:50" x14ac:dyDescent="0.25">
      <c r="AM95" s="129"/>
      <c r="AN95" s="123" t="s">
        <v>114</v>
      </c>
      <c r="AO95" s="124"/>
      <c r="AP95" s="124"/>
      <c r="AQ95" s="124"/>
      <c r="AR95" s="125"/>
      <c r="AS95" s="126" t="str">
        <f>'Form 11 Format'!$I$5&amp;"-"&amp;'Form 11 Format'!$J$5&amp;"-"&amp;'Form 11 Format'!$K$5</f>
        <v>5-10-2026</v>
      </c>
      <c r="AT95" s="127"/>
      <c r="AU95" s="127"/>
      <c r="AV95" s="127"/>
      <c r="AW95" s="128"/>
      <c r="AX95" s="82"/>
    </row>
    <row r="96" spans="39:50" x14ac:dyDescent="0.25">
      <c r="AM96" s="129">
        <v>8</v>
      </c>
      <c r="AN96" s="123" t="s">
        <v>127</v>
      </c>
      <c r="AO96" s="124"/>
      <c r="AP96" s="124"/>
      <c r="AQ96" s="124"/>
      <c r="AR96" s="125"/>
      <c r="AS96" s="126"/>
      <c r="AT96" s="127"/>
      <c r="AU96" s="127"/>
      <c r="AV96" s="127"/>
      <c r="AW96" s="128"/>
      <c r="AX96" s="82"/>
    </row>
    <row r="97" spans="39:50" x14ac:dyDescent="0.25">
      <c r="AM97" s="129"/>
      <c r="AN97" s="130" t="s">
        <v>115</v>
      </c>
      <c r="AO97" s="131"/>
      <c r="AP97" s="131"/>
      <c r="AQ97" s="131"/>
      <c r="AR97" s="132"/>
      <c r="AS97" s="133"/>
      <c r="AT97" s="134"/>
      <c r="AU97" s="134"/>
      <c r="AV97" s="134"/>
      <c r="AW97" s="135"/>
      <c r="AX97" s="82"/>
    </row>
    <row r="98" spans="39:50" x14ac:dyDescent="0.25">
      <c r="AM98" s="129"/>
      <c r="AN98" s="136" t="s">
        <v>116</v>
      </c>
      <c r="AO98" s="137"/>
      <c r="AP98" s="137"/>
      <c r="AQ98" s="137"/>
      <c r="AR98" s="138"/>
      <c r="AS98" s="139"/>
      <c r="AT98" s="140"/>
      <c r="AU98" s="140"/>
      <c r="AV98" s="140"/>
      <c r="AW98" s="141"/>
      <c r="AX98" s="82"/>
    </row>
    <row r="99" spans="39:50" x14ac:dyDescent="0.25">
      <c r="AM99" s="129"/>
      <c r="AN99" s="123" t="s">
        <v>117</v>
      </c>
      <c r="AO99" s="124"/>
      <c r="AP99" s="124"/>
      <c r="AQ99" s="124"/>
      <c r="AR99" s="125"/>
      <c r="AS99" s="142">
        <f>IF('Form 11 Format'!$P$5="","",'Form 11 Format'!$P$5)</f>
        <v>474820507890</v>
      </c>
      <c r="AT99" s="144"/>
      <c r="AU99" s="144"/>
      <c r="AV99" s="144"/>
      <c r="AW99" s="145"/>
      <c r="AX99" s="82"/>
    </row>
    <row r="100" spans="39:50" x14ac:dyDescent="0.25">
      <c r="AM100" s="129"/>
      <c r="AN100" s="123" t="s">
        <v>118</v>
      </c>
      <c r="AO100" s="124"/>
      <c r="AP100" s="124"/>
      <c r="AQ100" s="124"/>
      <c r="AR100" s="125"/>
      <c r="AS100" s="126" t="str">
        <f>UPPER('Form 11 Format'!$O$5)</f>
        <v>CRDPM5687D</v>
      </c>
      <c r="AT100" s="127"/>
      <c r="AU100" s="127"/>
      <c r="AV100" s="127"/>
      <c r="AW100" s="128"/>
      <c r="AX100" s="82"/>
    </row>
    <row r="101" spans="39:50" x14ac:dyDescent="0.25">
      <c r="AM101" s="32">
        <v>9</v>
      </c>
      <c r="AN101" s="123" t="s">
        <v>145</v>
      </c>
      <c r="AO101" s="124"/>
      <c r="AP101" s="124"/>
      <c r="AQ101" s="124"/>
      <c r="AR101" s="125"/>
      <c r="AS101" s="126" t="str">
        <f>IF('Form 11 Format'!$L$5="","",'Form 11 Format'!$L$5)</f>
        <v>Yes</v>
      </c>
      <c r="AT101" s="127"/>
      <c r="AU101" s="127"/>
      <c r="AV101" s="127"/>
      <c r="AW101" s="128"/>
      <c r="AX101" s="82"/>
    </row>
    <row r="102" spans="39:50" x14ac:dyDescent="0.25">
      <c r="AM102" s="32">
        <v>10</v>
      </c>
      <c r="AN102" s="123" t="s">
        <v>119</v>
      </c>
      <c r="AO102" s="124"/>
      <c r="AP102" s="124"/>
      <c r="AQ102" s="124"/>
      <c r="AR102" s="125"/>
      <c r="AS102" s="126" t="str">
        <f>IF('Form 11 Format'!$M$5="","",'Form 11 Format'!$M$5)</f>
        <v>No</v>
      </c>
      <c r="AT102" s="127"/>
      <c r="AU102" s="127"/>
      <c r="AV102" s="127"/>
      <c r="AW102" s="128"/>
      <c r="AX102" s="82"/>
    </row>
    <row r="103" spans="39:50" x14ac:dyDescent="0.25">
      <c r="AM103" s="146">
        <v>11</v>
      </c>
      <c r="AN103" s="33" t="s">
        <v>120</v>
      </c>
      <c r="AO103" s="20"/>
      <c r="AP103" s="20"/>
      <c r="AQ103" s="20"/>
      <c r="AR103" s="20"/>
      <c r="AS103" s="20"/>
      <c r="AT103" s="20"/>
      <c r="AU103" s="20"/>
      <c r="AV103" s="20"/>
      <c r="AW103" s="21"/>
      <c r="AX103" s="82"/>
    </row>
    <row r="104" spans="39:50" ht="40.799999999999997" x14ac:dyDescent="0.25">
      <c r="AM104" s="147"/>
      <c r="AN104" s="84"/>
      <c r="AO104" s="25" t="s">
        <v>121</v>
      </c>
      <c r="AP104" s="25" t="s">
        <v>122</v>
      </c>
      <c r="AQ104" s="25" t="s">
        <v>123</v>
      </c>
      <c r="AR104" s="25" t="s">
        <v>132</v>
      </c>
      <c r="AS104" s="25" t="s">
        <v>133</v>
      </c>
      <c r="AT104" s="25" t="s">
        <v>128</v>
      </c>
      <c r="AU104" s="25" t="s">
        <v>124</v>
      </c>
      <c r="AV104" s="25" t="s">
        <v>125</v>
      </c>
      <c r="AW104" s="22"/>
      <c r="AX104" s="82"/>
    </row>
    <row r="105" spans="39:50" ht="57.75" customHeight="1" x14ac:dyDescent="0.25">
      <c r="AM105" s="147"/>
      <c r="AN105" s="85"/>
      <c r="AO105" s="90"/>
      <c r="AP105" s="90"/>
      <c r="AQ105" s="90"/>
      <c r="AR105" s="91"/>
      <c r="AS105" s="91"/>
      <c r="AT105" s="90"/>
      <c r="AU105" s="90"/>
      <c r="AV105" s="90"/>
      <c r="AW105" s="22"/>
      <c r="AX105" s="82"/>
    </row>
    <row r="106" spans="39:50" x14ac:dyDescent="0.25">
      <c r="AM106" s="148"/>
      <c r="AN106" s="27"/>
      <c r="AO106" s="27"/>
      <c r="AP106" s="27"/>
      <c r="AQ106" s="27"/>
      <c r="AR106" s="27"/>
      <c r="AS106" s="27"/>
      <c r="AT106" s="27"/>
      <c r="AU106" s="27"/>
      <c r="AV106" s="27"/>
      <c r="AW106" s="23"/>
      <c r="AX106" s="82"/>
    </row>
    <row r="107" spans="39:50" x14ac:dyDescent="0.25">
      <c r="AM107" s="146">
        <v>12</v>
      </c>
      <c r="AN107" s="33" t="s">
        <v>129</v>
      </c>
      <c r="AO107" s="20"/>
      <c r="AP107" s="20"/>
      <c r="AQ107" s="20"/>
      <c r="AR107" s="20"/>
      <c r="AS107" s="20"/>
      <c r="AT107" s="20"/>
      <c r="AU107" s="20"/>
      <c r="AV107" s="20"/>
      <c r="AW107" s="21"/>
      <c r="AX107" s="82"/>
    </row>
    <row r="108" spans="39:50" ht="40.799999999999997" x14ac:dyDescent="0.25">
      <c r="AM108" s="147"/>
      <c r="AN108" s="84"/>
      <c r="AO108" s="149" t="s">
        <v>131</v>
      </c>
      <c r="AP108" s="150"/>
      <c r="AQ108" s="25" t="s">
        <v>122</v>
      </c>
      <c r="AR108" s="25" t="s">
        <v>130</v>
      </c>
      <c r="AS108" s="25" t="s">
        <v>132</v>
      </c>
      <c r="AT108" s="25" t="s">
        <v>133</v>
      </c>
      <c r="AU108" s="25" t="s">
        <v>128</v>
      </c>
      <c r="AV108" s="25" t="s">
        <v>125</v>
      </c>
      <c r="AW108" s="22"/>
      <c r="AX108" s="82"/>
    </row>
    <row r="109" spans="39:50" ht="59.25" customHeight="1" x14ac:dyDescent="0.25">
      <c r="AM109" s="147"/>
      <c r="AN109" s="85"/>
      <c r="AO109" s="151"/>
      <c r="AP109" s="152"/>
      <c r="AQ109" s="91"/>
      <c r="AR109" s="92"/>
      <c r="AS109" s="91"/>
      <c r="AT109" s="91"/>
      <c r="AU109" s="92"/>
      <c r="AV109" s="90"/>
      <c r="AW109" s="22"/>
      <c r="AX109" s="82"/>
    </row>
    <row r="110" spans="39:50" x14ac:dyDescent="0.25">
      <c r="AM110" s="148"/>
      <c r="AN110" s="27"/>
      <c r="AO110" s="27"/>
      <c r="AP110" s="27"/>
      <c r="AQ110" s="27"/>
      <c r="AR110" s="27"/>
      <c r="AS110" s="27"/>
      <c r="AT110" s="27"/>
      <c r="AU110" s="27"/>
      <c r="AV110" s="27"/>
      <c r="AW110" s="23"/>
      <c r="AX110" s="82"/>
    </row>
    <row r="111" spans="39:50" x14ac:dyDescent="0.25">
      <c r="AM111" s="153">
        <v>13</v>
      </c>
      <c r="AN111" s="31" t="s">
        <v>153</v>
      </c>
      <c r="AO111" s="30"/>
      <c r="AP111" s="30"/>
      <c r="AQ111" s="30"/>
      <c r="AR111" s="21"/>
      <c r="AS111" s="156" t="str">
        <f>IF('Form 11 Format'!$R$5="","",'Form 11 Format'!$R$5)</f>
        <v>No</v>
      </c>
      <c r="AT111" s="157"/>
      <c r="AU111" s="157"/>
      <c r="AV111" s="157"/>
      <c r="AW111" s="158"/>
      <c r="AX111" s="82"/>
    </row>
    <row r="112" spans="39:50" x14ac:dyDescent="0.25">
      <c r="AM112" s="154"/>
      <c r="AN112" s="28" t="s">
        <v>134</v>
      </c>
      <c r="AO112" s="29"/>
      <c r="AP112" s="29"/>
      <c r="AQ112" s="29"/>
      <c r="AR112" s="24"/>
      <c r="AS112" s="156" t="str">
        <f>IF('Form 11 Format'!$AA$5="","",'Form 11 Format'!$AA$5)</f>
        <v/>
      </c>
      <c r="AT112" s="157"/>
      <c r="AU112" s="157"/>
      <c r="AV112" s="157"/>
      <c r="AW112" s="158"/>
      <c r="AX112" s="82"/>
    </row>
    <row r="113" spans="39:50" x14ac:dyDescent="0.25">
      <c r="AM113" s="154"/>
      <c r="AN113" s="28" t="s">
        <v>135</v>
      </c>
      <c r="AO113" s="29"/>
      <c r="AP113" s="29"/>
      <c r="AQ113" s="29"/>
      <c r="AR113" s="24"/>
      <c r="AS113" s="156" t="str">
        <f>IF('Form 11 Format'!$T$5="","",'Form 11 Format'!$T$5)</f>
        <v/>
      </c>
      <c r="AT113" s="157"/>
      <c r="AU113" s="157"/>
      <c r="AV113" s="157"/>
      <c r="AW113" s="158"/>
      <c r="AX113" s="82"/>
    </row>
    <row r="114" spans="39:50" x14ac:dyDescent="0.25">
      <c r="AM114" s="155"/>
      <c r="AN114" s="26" t="s">
        <v>136</v>
      </c>
      <c r="AO114" s="27"/>
      <c r="AP114" s="27"/>
      <c r="AQ114" s="27"/>
      <c r="AR114" s="23"/>
      <c r="AS114" s="156" t="str">
        <f>IF('Form 11 Format'!$V$5="","",'Form 11 Format'!$V$5&amp;" TO "&amp;'Form 11 Format'!$W$5)</f>
        <v/>
      </c>
      <c r="AT114" s="157"/>
      <c r="AU114" s="157"/>
      <c r="AV114" s="157"/>
      <c r="AW114" s="158"/>
      <c r="AX114" s="82"/>
    </row>
    <row r="115" spans="39:50" x14ac:dyDescent="0.25">
      <c r="AM115" s="34"/>
      <c r="AN115" s="19"/>
      <c r="AO115" s="19"/>
      <c r="AP115" s="19"/>
      <c r="AQ115" s="19"/>
      <c r="AR115" s="19"/>
      <c r="AS115" s="19"/>
      <c r="AT115" s="19"/>
      <c r="AU115" s="19"/>
      <c r="AV115" s="19"/>
      <c r="AW115" s="19"/>
    </row>
    <row r="116" spans="39:50" x14ac:dyDescent="0.25">
      <c r="AM116" s="19"/>
      <c r="AN116" s="19"/>
      <c r="AO116" s="19"/>
      <c r="AP116" s="19"/>
      <c r="AQ116" s="19"/>
      <c r="AR116" s="19"/>
      <c r="AS116" s="19"/>
      <c r="AT116" s="19"/>
      <c r="AU116" s="19"/>
      <c r="AV116" s="19"/>
      <c r="AW116" s="19"/>
    </row>
    <row r="117" spans="39:50" x14ac:dyDescent="0.25">
      <c r="AM117" s="19"/>
      <c r="AN117" s="19"/>
      <c r="AO117" s="19"/>
      <c r="AP117" s="19"/>
      <c r="AQ117" s="19"/>
      <c r="AR117" s="19"/>
      <c r="AS117" s="19"/>
      <c r="AT117" s="19"/>
      <c r="AU117" s="19"/>
      <c r="AV117" s="19"/>
      <c r="AW117" s="19"/>
    </row>
    <row r="118" spans="39:50" x14ac:dyDescent="0.25">
      <c r="AM118" s="159" t="s">
        <v>137</v>
      </c>
      <c r="AN118" s="159"/>
      <c r="AO118" s="159"/>
      <c r="AP118" s="159"/>
      <c r="AQ118" s="159"/>
      <c r="AR118" s="159"/>
      <c r="AS118" s="159"/>
      <c r="AT118" s="159"/>
      <c r="AU118" s="159"/>
      <c r="AV118" s="159"/>
      <c r="AW118" s="159"/>
    </row>
    <row r="119" spans="39:50" x14ac:dyDescent="0.25">
      <c r="AM119" s="160" t="s">
        <v>138</v>
      </c>
      <c r="AN119" s="160"/>
      <c r="AO119" s="160"/>
      <c r="AP119" s="160"/>
      <c r="AQ119" s="160"/>
      <c r="AR119" s="160"/>
      <c r="AS119" s="160"/>
      <c r="AT119" s="160"/>
      <c r="AU119" s="160"/>
      <c r="AV119" s="160"/>
      <c r="AW119" s="160"/>
    </row>
    <row r="120" spans="39:50" x14ac:dyDescent="0.25">
      <c r="AM120" s="160" t="s">
        <v>140</v>
      </c>
      <c r="AN120" s="160"/>
      <c r="AO120" s="160"/>
      <c r="AP120" s="160"/>
      <c r="AQ120" s="160"/>
      <c r="AR120" s="160"/>
      <c r="AS120" s="160"/>
      <c r="AT120" s="160"/>
      <c r="AU120" s="160"/>
      <c r="AV120" s="160"/>
      <c r="AW120" s="160"/>
    </row>
    <row r="121" spans="39:50" ht="28.5" customHeight="1" x14ac:dyDescent="0.25">
      <c r="AM121" s="160" t="s">
        <v>139</v>
      </c>
      <c r="AN121" s="160"/>
      <c r="AO121" s="160"/>
      <c r="AP121" s="160"/>
      <c r="AQ121" s="160"/>
      <c r="AR121" s="160"/>
      <c r="AS121" s="160"/>
      <c r="AT121" s="160"/>
      <c r="AU121" s="160"/>
      <c r="AV121" s="160"/>
      <c r="AW121" s="160"/>
    </row>
    <row r="122" spans="39:50" x14ac:dyDescent="0.25">
      <c r="AM122" s="160" t="s">
        <v>141</v>
      </c>
      <c r="AN122" s="160"/>
      <c r="AO122" s="160"/>
      <c r="AP122" s="160"/>
      <c r="AQ122" s="160"/>
      <c r="AR122" s="160"/>
      <c r="AS122" s="160"/>
      <c r="AT122" s="160"/>
      <c r="AU122" s="160"/>
      <c r="AV122" s="160"/>
      <c r="AW122" s="160"/>
    </row>
    <row r="123" spans="39:50" x14ac:dyDescent="0.25">
      <c r="AM123" s="40"/>
      <c r="AN123" s="40"/>
      <c r="AO123" s="40"/>
      <c r="AP123" s="40"/>
      <c r="AQ123" s="40"/>
      <c r="AR123" s="40"/>
      <c r="AS123" s="40"/>
      <c r="AT123" s="40"/>
      <c r="AU123" s="40"/>
      <c r="AV123" s="40"/>
      <c r="AW123" s="40"/>
    </row>
    <row r="124" spans="39:50" x14ac:dyDescent="0.25">
      <c r="AM124" s="40"/>
      <c r="AN124" s="40"/>
      <c r="AO124" s="40"/>
      <c r="AP124" s="40"/>
      <c r="AQ124" s="40"/>
      <c r="AR124" s="40"/>
      <c r="AS124" s="40"/>
      <c r="AT124" s="40"/>
      <c r="AU124" s="40"/>
      <c r="AV124" s="40"/>
      <c r="AW124" s="40"/>
    </row>
    <row r="125" spans="39:50" x14ac:dyDescent="0.25">
      <c r="AM125" s="40"/>
      <c r="AN125" s="40"/>
      <c r="AO125" s="40"/>
      <c r="AP125" s="40"/>
      <c r="AQ125" s="40"/>
      <c r="AR125" s="40"/>
      <c r="AS125" s="40"/>
      <c r="AT125" s="40"/>
      <c r="AU125" s="40"/>
      <c r="AV125" s="40"/>
      <c r="AW125" s="40"/>
    </row>
    <row r="126" spans="39:50" x14ac:dyDescent="0.25">
      <c r="AM126" s="40"/>
      <c r="AN126" s="40"/>
      <c r="AO126" s="40"/>
      <c r="AP126" s="40"/>
      <c r="AQ126" s="40"/>
      <c r="AR126" s="40"/>
      <c r="AS126" s="40"/>
      <c r="AT126" s="40"/>
      <c r="AU126" s="40"/>
      <c r="AV126" s="40"/>
      <c r="AW126" s="40"/>
    </row>
    <row r="127" spans="39:50" x14ac:dyDescent="0.25">
      <c r="AM127" s="38" t="s">
        <v>142</v>
      </c>
      <c r="AN127" s="19"/>
      <c r="AO127" s="36"/>
      <c r="AP127" s="19"/>
      <c r="AQ127" s="19"/>
      <c r="AR127" s="19"/>
      <c r="AS127" s="19"/>
      <c r="AT127" s="19"/>
      <c r="AU127" s="19"/>
      <c r="AV127" s="19"/>
      <c r="AW127" s="19"/>
    </row>
    <row r="128" spans="39:50" x14ac:dyDescent="0.25">
      <c r="AM128" s="38" t="s">
        <v>143</v>
      </c>
      <c r="AN128" s="19"/>
      <c r="AO128" s="19"/>
      <c r="AP128" s="19"/>
      <c r="AQ128" s="19"/>
      <c r="AR128" s="19"/>
      <c r="AS128" s="19"/>
      <c r="AT128" s="161" t="s">
        <v>144</v>
      </c>
      <c r="AU128" s="161"/>
      <c r="AV128" s="161"/>
      <c r="AW128" s="161"/>
    </row>
    <row r="129" spans="39:49" x14ac:dyDescent="0.25">
      <c r="AM129" s="19"/>
      <c r="AN129" s="19"/>
      <c r="AO129" s="19"/>
      <c r="AP129" s="19"/>
      <c r="AQ129" s="19"/>
      <c r="AR129" s="19"/>
      <c r="AS129" s="19"/>
      <c r="AT129" s="162" t="str">
        <f>(AS86)</f>
        <v>NISHA NIKHIL KADAM</v>
      </c>
      <c r="AU129" s="162"/>
      <c r="AV129" s="162"/>
      <c r="AW129" s="162"/>
    </row>
    <row r="130" spans="39:49" x14ac:dyDescent="0.25">
      <c r="AM130" s="19"/>
      <c r="AN130" s="19"/>
      <c r="AO130" s="19"/>
      <c r="AP130" s="19"/>
      <c r="AQ130" s="19"/>
      <c r="AR130" s="19"/>
      <c r="AS130" s="19"/>
      <c r="AT130" s="19"/>
      <c r="AU130" s="19"/>
      <c r="AV130" s="19"/>
      <c r="AW130" s="19"/>
    </row>
    <row r="131" spans="39:49" x14ac:dyDescent="0.25">
      <c r="AM131" s="19"/>
      <c r="AN131" s="19"/>
      <c r="AO131" s="19"/>
      <c r="AP131" s="19"/>
      <c r="AQ131" s="19"/>
      <c r="AR131" s="19"/>
      <c r="AS131" s="19"/>
      <c r="AT131" s="19"/>
      <c r="AU131" s="19"/>
      <c r="AV131" s="19"/>
      <c r="AW131" s="19"/>
    </row>
    <row r="132" spans="39:49" x14ac:dyDescent="0.25">
      <c r="AM132" s="19"/>
      <c r="AN132" s="19"/>
      <c r="AO132" s="19"/>
      <c r="AP132" s="19"/>
      <c r="AQ132" s="19"/>
      <c r="AR132" s="19"/>
      <c r="AS132" s="19"/>
      <c r="AT132" s="19"/>
      <c r="AU132" s="19"/>
      <c r="AV132" s="19"/>
      <c r="AW132" s="19"/>
    </row>
    <row r="133" spans="39:49" x14ac:dyDescent="0.25">
      <c r="AM133" s="163" t="s">
        <v>154</v>
      </c>
      <c r="AN133" s="163"/>
      <c r="AO133" s="163"/>
      <c r="AP133" s="163"/>
      <c r="AQ133" s="163"/>
      <c r="AR133" s="163"/>
      <c r="AS133" s="163"/>
      <c r="AT133" s="163"/>
      <c r="AU133" s="163"/>
      <c r="AV133" s="163"/>
      <c r="AW133" s="163"/>
    </row>
    <row r="134" spans="39:49" x14ac:dyDescent="0.25">
      <c r="AM134" s="164" t="s">
        <v>164</v>
      </c>
      <c r="AN134" s="164"/>
      <c r="AO134" s="164"/>
      <c r="AP134" s="164"/>
      <c r="AQ134" s="164"/>
      <c r="AR134" s="164"/>
      <c r="AS134" s="164"/>
      <c r="AT134" s="164"/>
      <c r="AU134" s="164"/>
      <c r="AV134" s="164"/>
      <c r="AW134" s="164"/>
    </row>
    <row r="135" spans="39:49" x14ac:dyDescent="0.25">
      <c r="AM135" s="161" t="s">
        <v>165</v>
      </c>
      <c r="AN135" s="161"/>
      <c r="AO135" s="161"/>
      <c r="AP135" s="161"/>
      <c r="AQ135" s="161"/>
      <c r="AR135" s="161"/>
      <c r="AS135" s="161"/>
      <c r="AT135" s="161"/>
      <c r="AU135" s="161"/>
      <c r="AV135" s="161"/>
      <c r="AW135" s="161"/>
    </row>
    <row r="136" spans="39:49" x14ac:dyDescent="0.25">
      <c r="AM136" s="37"/>
      <c r="AN136" s="37"/>
      <c r="AO136" s="37"/>
      <c r="AP136" s="37"/>
      <c r="AQ136" s="37"/>
      <c r="AR136" s="37"/>
      <c r="AS136" s="37"/>
      <c r="AT136" s="37"/>
      <c r="AU136" s="37"/>
      <c r="AV136" s="37"/>
      <c r="AW136" s="37"/>
    </row>
    <row r="137" spans="39:49" x14ac:dyDescent="0.25">
      <c r="AM137" s="164" t="s">
        <v>166</v>
      </c>
      <c r="AN137" s="164"/>
      <c r="AO137" s="164"/>
      <c r="AP137" s="164"/>
      <c r="AQ137" s="164"/>
      <c r="AR137" s="164"/>
      <c r="AS137" s="164"/>
      <c r="AT137" s="164"/>
      <c r="AU137" s="164"/>
      <c r="AV137" s="164"/>
      <c r="AW137" s="164"/>
    </row>
    <row r="138" spans="39:49" x14ac:dyDescent="0.25">
      <c r="AM138" s="161" t="s">
        <v>155</v>
      </c>
      <c r="AN138" s="161"/>
      <c r="AO138" s="161"/>
      <c r="AP138" s="161"/>
      <c r="AQ138" s="161"/>
      <c r="AR138" s="161"/>
      <c r="AS138" s="161"/>
      <c r="AT138" s="161"/>
      <c r="AU138" s="161"/>
      <c r="AV138" s="161"/>
      <c r="AW138" s="161"/>
    </row>
    <row r="139" spans="39:49" x14ac:dyDescent="0.25">
      <c r="AQ139" s="35" t="s">
        <v>156</v>
      </c>
    </row>
    <row r="140" spans="39:49" x14ac:dyDescent="0.25">
      <c r="AQ140" s="35" t="s">
        <v>157</v>
      </c>
    </row>
    <row r="141" spans="39:49" x14ac:dyDescent="0.25">
      <c r="AQ141" s="35" t="s">
        <v>158</v>
      </c>
    </row>
    <row r="143" spans="39:49" x14ac:dyDescent="0.25">
      <c r="AM143" s="164" t="s">
        <v>159</v>
      </c>
      <c r="AN143" s="164"/>
      <c r="AO143" s="164"/>
      <c r="AP143" s="164"/>
      <c r="AQ143" s="164"/>
      <c r="AR143" s="164"/>
      <c r="AS143" s="164"/>
      <c r="AT143" s="164"/>
      <c r="AU143" s="164"/>
      <c r="AV143" s="164"/>
      <c r="AW143" s="164"/>
    </row>
    <row r="144" spans="39:49" x14ac:dyDescent="0.25">
      <c r="AM144" s="39"/>
      <c r="AO144" s="39" t="s">
        <v>167</v>
      </c>
    </row>
    <row r="145" spans="39:49" x14ac:dyDescent="0.25">
      <c r="AO145" s="166" t="s">
        <v>160</v>
      </c>
      <c r="AP145" s="166"/>
      <c r="AQ145" s="166"/>
      <c r="AR145" s="166"/>
      <c r="AS145" s="166"/>
      <c r="AT145" s="166"/>
      <c r="AU145" s="166"/>
      <c r="AV145" s="166"/>
      <c r="AW145" s="166"/>
    </row>
    <row r="146" spans="39:49" x14ac:dyDescent="0.25">
      <c r="AO146" s="166"/>
      <c r="AP146" s="166"/>
      <c r="AQ146" s="166"/>
      <c r="AR146" s="166"/>
      <c r="AS146" s="166"/>
      <c r="AT146" s="166"/>
      <c r="AU146" s="166"/>
      <c r="AV146" s="166"/>
      <c r="AW146" s="166"/>
    </row>
    <row r="147" spans="39:49" x14ac:dyDescent="0.25">
      <c r="AO147" s="35" t="s">
        <v>161</v>
      </c>
    </row>
    <row r="153" spans="39:49" x14ac:dyDescent="0.25">
      <c r="AM153" s="38" t="s">
        <v>142</v>
      </c>
      <c r="AR153" s="167" t="s">
        <v>162</v>
      </c>
      <c r="AS153" s="167"/>
      <c r="AT153" s="167"/>
      <c r="AU153" s="167"/>
      <c r="AV153" s="167"/>
    </row>
    <row r="155" spans="39:49" x14ac:dyDescent="0.25">
      <c r="AM155" s="165" t="s">
        <v>163</v>
      </c>
      <c r="AN155" s="165"/>
      <c r="AO155" s="165"/>
      <c r="AP155" s="165"/>
      <c r="AQ155" s="165"/>
      <c r="AR155" s="165"/>
      <c r="AS155" s="165"/>
      <c r="AT155" s="165"/>
      <c r="AU155" s="165"/>
      <c r="AV155" s="165"/>
      <c r="AW155" s="165"/>
    </row>
    <row r="156" spans="39:49" x14ac:dyDescent="0.25">
      <c r="AM156" s="165"/>
      <c r="AN156" s="165"/>
      <c r="AO156" s="165"/>
      <c r="AP156" s="165"/>
      <c r="AQ156" s="165"/>
      <c r="AR156" s="165"/>
      <c r="AS156" s="165"/>
      <c r="AT156" s="165"/>
      <c r="AU156" s="165"/>
      <c r="AV156" s="165"/>
      <c r="AW156" s="165"/>
    </row>
  </sheetData>
  <sheetProtection algorithmName="SHA-512" hashValue="VfYRw+/0U2BnyDTen6KHD7qk0Bf0ZQq3GyFMEakqyKGf9v2qfU8AjRiE6wo696N9lZSUbQGdQ30SXzummlJOtQ==" saltValue="NDgMmFx3quz+52S4jfrdPg==" spinCount="100000" sheet="1" selectLockedCells="1"/>
  <mergeCells count="75">
    <mergeCell ref="AM155:AW156"/>
    <mergeCell ref="AM137:AW137"/>
    <mergeCell ref="AM138:AW138"/>
    <mergeCell ref="AM143:AW143"/>
    <mergeCell ref="AO145:AW146"/>
    <mergeCell ref="AR153:AV153"/>
    <mergeCell ref="AT128:AW128"/>
    <mergeCell ref="AT129:AW129"/>
    <mergeCell ref="AM133:AW133"/>
    <mergeCell ref="AM134:AW134"/>
    <mergeCell ref="AM135:AW135"/>
    <mergeCell ref="AM118:AW118"/>
    <mergeCell ref="AM119:AW119"/>
    <mergeCell ref="AM120:AW120"/>
    <mergeCell ref="AM121:AW121"/>
    <mergeCell ref="AM122:AW122"/>
    <mergeCell ref="AM107:AM110"/>
    <mergeCell ref="AO108:AP108"/>
    <mergeCell ref="AO109:AP109"/>
    <mergeCell ref="AM111:AM114"/>
    <mergeCell ref="AS111:AW111"/>
    <mergeCell ref="AS112:AW112"/>
    <mergeCell ref="AS113:AW113"/>
    <mergeCell ref="AS114:AW114"/>
    <mergeCell ref="AN101:AR101"/>
    <mergeCell ref="AS101:AW101"/>
    <mergeCell ref="AN102:AR102"/>
    <mergeCell ref="AS102:AW102"/>
    <mergeCell ref="AM103:AM106"/>
    <mergeCell ref="AM96:AM100"/>
    <mergeCell ref="AN96:AR96"/>
    <mergeCell ref="AS96:AW96"/>
    <mergeCell ref="AN97:AR97"/>
    <mergeCell ref="AS97:AW97"/>
    <mergeCell ref="AN98:AR98"/>
    <mergeCell ref="AS98:AW98"/>
    <mergeCell ref="AN99:AR99"/>
    <mergeCell ref="AS99:AW99"/>
    <mergeCell ref="AN100:AR100"/>
    <mergeCell ref="AS100:AW100"/>
    <mergeCell ref="AM94:AM95"/>
    <mergeCell ref="AN94:AR94"/>
    <mergeCell ref="AS94:AW94"/>
    <mergeCell ref="AN95:AR95"/>
    <mergeCell ref="AS95:AW95"/>
    <mergeCell ref="AM92:AM93"/>
    <mergeCell ref="AN92:AR92"/>
    <mergeCell ref="AS92:AW92"/>
    <mergeCell ref="AN93:AR93"/>
    <mergeCell ref="AS93:AW93"/>
    <mergeCell ref="AN89:AR89"/>
    <mergeCell ref="AS89:AW89"/>
    <mergeCell ref="AN90:AR90"/>
    <mergeCell ref="AS90:AW90"/>
    <mergeCell ref="AN91:AR91"/>
    <mergeCell ref="AS91:AW91"/>
    <mergeCell ref="AM83:AW83"/>
    <mergeCell ref="AN86:AR86"/>
    <mergeCell ref="AS86:AW86"/>
    <mergeCell ref="AM87:AM88"/>
    <mergeCell ref="AN87:AR87"/>
    <mergeCell ref="AS87:AW87"/>
    <mergeCell ref="AN88:AR88"/>
    <mergeCell ref="AS88:AW88"/>
    <mergeCell ref="AM78:AW78"/>
    <mergeCell ref="AM79:AW79"/>
    <mergeCell ref="AM80:AW80"/>
    <mergeCell ref="AM81:AW81"/>
    <mergeCell ref="AM82:AW82"/>
    <mergeCell ref="F6:H6"/>
    <mergeCell ref="T3:AA3"/>
    <mergeCell ref="A3:C3"/>
    <mergeCell ref="F3:H3"/>
    <mergeCell ref="I3:K3"/>
    <mergeCell ref="I6:K6"/>
  </mergeCells>
  <conditionalFormatting sqref="T5:AA5">
    <cfRule type="expression" dxfId="1" priority="1">
      <formula>$S$5="Indian"</formula>
    </cfRule>
  </conditionalFormatting>
  <conditionalFormatting sqref="AC1:AC1048576">
    <cfRule type="containsText" dxfId="0" priority="3" operator="containsText" text="CHECK">
      <formula>NOT(ISERROR(SEARCH("CHECK",AC1)))</formula>
    </cfRule>
  </conditionalFormatting>
  <dataValidations count="11">
    <dataValidation type="list" allowBlank="1" showInputMessage="1" showErrorMessage="1" sqref="L5:M5 R5" xr:uid="{38A04F9A-4BB6-409D-8CF3-E20D0E5EFB02}">
      <formula1>"Yes, No"</formula1>
    </dataValidation>
    <dataValidation type="textLength" operator="equal" allowBlank="1" showInputMessage="1" showErrorMessage="1" error="UAN is 12 digit long" sqref="N5" xr:uid="{D9935DB4-C153-4180-94F9-CF26CC44AB2D}">
      <formula1>12</formula1>
    </dataValidation>
    <dataValidation type="textLength" operator="equal" allowBlank="1" showInputMessage="1" showErrorMessage="1" error="PAN is 12 character long" sqref="O5" xr:uid="{B3A41CF9-54F2-4290-A9F6-8A369CB5E45C}">
      <formula1>10</formula1>
    </dataValidation>
    <dataValidation type="textLength" operator="equal" allowBlank="1" showInputMessage="1" showErrorMessage="1" error="Aadhaar is 12 digit long" sqref="P5" xr:uid="{CD24D4BA-79A8-4F08-9905-0115AAFA8E8B}">
      <formula1>12</formula1>
    </dataValidation>
    <dataValidation type="textLength" operator="equal" allowBlank="1" showInputMessage="1" showErrorMessage="1" error="Mobile# is 10 digit long" sqref="Q5" xr:uid="{5AD88E7D-B139-4225-8BF0-F7C777E74009}">
      <formula1>10</formula1>
    </dataValidation>
    <dataValidation type="list" allowBlank="1" showInputMessage="1" showErrorMessage="1" sqref="E5" xr:uid="{4CECDA2E-CEC3-46CB-97F3-2758FC1A9B4F}">
      <formula1>"Married, Unmarried, Divorcee, Widow"</formula1>
    </dataValidation>
    <dataValidation type="list" allowBlank="1" showInputMessage="1" showErrorMessage="1" sqref="D5" xr:uid="{94A1E7C2-96A0-4120-8111-7A5F170013DF}">
      <formula1>"Father,Husband"</formula1>
    </dataValidation>
    <dataValidation type="whole" showInputMessage="1" showErrorMessage="1" errorTitle="Enter only Date in :dd format" error="Enter only date in numeric :dd format_x000a_" sqref="F5 I5" xr:uid="{AC510FEE-1694-4D83-B3A9-366B6297137E}">
      <formula1>1</formula1>
      <formula2>31</formula2>
    </dataValidation>
    <dataValidation type="whole" allowBlank="1" showInputMessage="1" showErrorMessage="1" errorTitle="Enter only Month in :mm format" error="Enter only Month in numeric :mm format" sqref="G5 J5" xr:uid="{2060FBE7-4728-43BF-99B4-62C2D01CA43F}">
      <formula1>1</formula1>
      <formula2>12</formula2>
    </dataValidation>
    <dataValidation type="textLength" allowBlank="1" showInputMessage="1" showErrorMessage="1" errorTitle="Enter only Year in :yyyy format" error="Enter only Year in numeric :yyyy format" sqref="H5 K5" xr:uid="{EA69EB63-ECEB-4244-AC66-F835CE1B7D53}">
      <formula1>4</formula1>
      <formula2>4</formula2>
    </dataValidation>
    <dataValidation type="textLength" operator="equal" allowBlank="1" showInputMessage="1" showErrorMessage="1" error="GEID is 10 digit long" sqref="A5" xr:uid="{3DA73BCE-0081-4F42-84DD-51FA037F212F}">
      <formula1>10</formula1>
    </dataValidation>
  </dataValidations>
  <pageMargins left="0.25" right="0.2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02" r:id="rId4" name="Check Box 6">
              <controlPr defaultSize="0" autoFill="0" autoLine="0" autoPict="0">
                <anchor moveWithCells="1">
                  <from>
                    <xdr:col>40</xdr:col>
                    <xdr:colOff>723900</xdr:colOff>
                    <xdr:row>85</xdr:row>
                    <xdr:rowOff>160020</xdr:rowOff>
                  </from>
                  <to>
                    <xdr:col>41</xdr:col>
                    <xdr:colOff>274320</xdr:colOff>
                    <xdr:row>87</xdr:row>
                    <xdr:rowOff>0</xdr:rowOff>
                  </to>
                </anchor>
              </controlPr>
            </control>
          </mc:Choice>
        </mc:AlternateContent>
        <mc:AlternateContent xmlns:mc="http://schemas.openxmlformats.org/markup-compatibility/2006">
          <mc:Choice Requires="x14">
            <control shapeId="4103" r:id="rId5" name="Check Box 7">
              <controlPr defaultSize="0" autoFill="0" autoLine="0" autoPict="0">
                <anchor moveWithCells="1">
                  <from>
                    <xdr:col>41</xdr:col>
                    <xdr:colOff>373380</xdr:colOff>
                    <xdr:row>139</xdr:row>
                    <xdr:rowOff>30480</xdr:rowOff>
                  </from>
                  <to>
                    <xdr:col>41</xdr:col>
                    <xdr:colOff>647700</xdr:colOff>
                    <xdr:row>140</xdr:row>
                    <xdr:rowOff>30480</xdr:rowOff>
                  </to>
                </anchor>
              </controlPr>
            </control>
          </mc:Choice>
        </mc:AlternateContent>
        <mc:AlternateContent xmlns:mc="http://schemas.openxmlformats.org/markup-compatibility/2006">
          <mc:Choice Requires="x14">
            <control shapeId="4104" r:id="rId6" name="Check Box 8">
              <controlPr defaultSize="0" autoFill="0" autoLine="0" autoPict="0">
                <anchor moveWithCells="1">
                  <from>
                    <xdr:col>41</xdr:col>
                    <xdr:colOff>373380</xdr:colOff>
                    <xdr:row>140</xdr:row>
                    <xdr:rowOff>22860</xdr:rowOff>
                  </from>
                  <to>
                    <xdr:col>41</xdr:col>
                    <xdr:colOff>678180</xdr:colOff>
                    <xdr:row>141</xdr:row>
                    <xdr:rowOff>30480</xdr:rowOff>
                  </to>
                </anchor>
              </controlPr>
            </control>
          </mc:Choice>
        </mc:AlternateContent>
        <mc:AlternateContent xmlns:mc="http://schemas.openxmlformats.org/markup-compatibility/2006">
          <mc:Choice Requires="x14">
            <control shapeId="4105" r:id="rId7" name="Check Box 9">
              <controlPr defaultSize="0" autoFill="0" autoLine="0" autoPict="0">
                <anchor moveWithCells="1">
                  <from>
                    <xdr:col>41</xdr:col>
                    <xdr:colOff>373380</xdr:colOff>
                    <xdr:row>138</xdr:row>
                    <xdr:rowOff>30480</xdr:rowOff>
                  </from>
                  <to>
                    <xdr:col>41</xdr:col>
                    <xdr:colOff>678180</xdr:colOff>
                    <xdr:row>139</xdr:row>
                    <xdr:rowOff>30480</xdr:rowOff>
                  </to>
                </anchor>
              </controlPr>
            </control>
          </mc:Choice>
        </mc:AlternateContent>
        <mc:AlternateContent xmlns:mc="http://schemas.openxmlformats.org/markup-compatibility/2006">
          <mc:Choice Requires="x14">
            <control shapeId="4106" r:id="rId8" name="Check Box 10">
              <controlPr defaultSize="0" autoFill="0" autoLine="0" autoPict="0">
                <anchor moveWithCells="1">
                  <from>
                    <xdr:col>38</xdr:col>
                    <xdr:colOff>114300</xdr:colOff>
                    <xdr:row>144</xdr:row>
                    <xdr:rowOff>76200</xdr:rowOff>
                  </from>
                  <to>
                    <xdr:col>39</xdr:col>
                    <xdr:colOff>60960</xdr:colOff>
                    <xdr:row>145</xdr:row>
                    <xdr:rowOff>60960</xdr:rowOff>
                  </to>
                </anchor>
              </controlPr>
            </control>
          </mc:Choice>
        </mc:AlternateContent>
        <mc:AlternateContent xmlns:mc="http://schemas.openxmlformats.org/markup-compatibility/2006">
          <mc:Choice Requires="x14">
            <control shapeId="4107" r:id="rId9" name="Check Box 11">
              <controlPr defaultSize="0" autoFill="0" autoLine="0" autoPict="0">
                <anchor moveWithCells="1">
                  <from>
                    <xdr:col>38</xdr:col>
                    <xdr:colOff>106680</xdr:colOff>
                    <xdr:row>146</xdr:row>
                    <xdr:rowOff>7620</xdr:rowOff>
                  </from>
                  <to>
                    <xdr:col>39</xdr:col>
                    <xdr:colOff>60960</xdr:colOff>
                    <xdr:row>147</xdr:row>
                    <xdr:rowOff>0</xdr:rowOff>
                  </to>
                </anchor>
              </controlPr>
            </control>
          </mc:Choice>
        </mc:AlternateContent>
        <mc:AlternateContent xmlns:mc="http://schemas.openxmlformats.org/markup-compatibility/2006">
          <mc:Choice Requires="x14">
            <control shapeId="4108" r:id="rId10" name="Check Box 12">
              <controlPr defaultSize="0" autoFill="0" autoLine="0" autoPict="0">
                <anchor moveWithCells="1">
                  <from>
                    <xdr:col>40</xdr:col>
                    <xdr:colOff>731520</xdr:colOff>
                    <xdr:row>86</xdr:row>
                    <xdr:rowOff>152400</xdr:rowOff>
                  </from>
                  <to>
                    <xdr:col>41</xdr:col>
                    <xdr:colOff>274320</xdr:colOff>
                    <xdr:row>87</xdr:row>
                    <xdr:rowOff>182880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E74509E0-57C4-44EC-B6B8-CB709E7F5264}">
          <x14:formula1>
            <xm:f>Instruction!$H$31:$H$224</xm:f>
          </x14:formula1>
          <xm:sqref>S5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C73E7-37E8-4F2E-8B5E-A1AFEA9700D4}">
  <sheetPr codeName="Sheet1"/>
  <dimension ref="A1:M79"/>
  <sheetViews>
    <sheetView showGridLines="0" topLeftCell="A12" zoomScale="103" workbookViewId="0">
      <selection activeCell="J27" sqref="J1:L1048576"/>
    </sheetView>
  </sheetViews>
  <sheetFormatPr defaultColWidth="0" defaultRowHeight="13.5" customHeight="1" x14ac:dyDescent="0.25"/>
  <cols>
    <col min="1" max="1" width="3.6640625" style="35" customWidth="1"/>
    <col min="2" max="2" width="1.44140625" style="35" customWidth="1"/>
    <col min="3" max="3" width="16.109375" style="35" customWidth="1"/>
    <col min="4" max="4" width="11.33203125" style="35" customWidth="1"/>
    <col min="5" max="5" width="12.6640625" style="35" customWidth="1"/>
    <col min="6" max="7" width="11" style="35" bestFit="1" customWidth="1"/>
    <col min="8" max="9" width="10.88671875" style="35" bestFit="1" customWidth="1"/>
    <col min="10" max="10" width="9.5546875" style="35" bestFit="1" customWidth="1"/>
    <col min="11" max="11" width="0.6640625" style="35" hidden="1" customWidth="1"/>
    <col min="12" max="12" width="3.88671875" style="19" customWidth="1"/>
    <col min="13" max="13" width="2.33203125" style="19" hidden="1" customWidth="1"/>
    <col min="14" max="16384" width="9.109375" style="19" hidden="1"/>
  </cols>
  <sheetData>
    <row r="1" spans="1:11" ht="13.5" customHeight="1" x14ac:dyDescent="0.25">
      <c r="A1" s="108" t="s">
        <v>146</v>
      </c>
      <c r="B1" s="109"/>
      <c r="C1" s="109"/>
      <c r="D1" s="109"/>
      <c r="E1" s="109"/>
      <c r="F1" s="109"/>
      <c r="G1" s="109"/>
      <c r="H1" s="109"/>
      <c r="I1" s="109"/>
      <c r="J1" s="109"/>
      <c r="K1" s="110"/>
    </row>
    <row r="2" spans="1:11" ht="13.5" customHeight="1" x14ac:dyDescent="0.25">
      <c r="A2" s="111" t="s">
        <v>147</v>
      </c>
      <c r="B2" s="112"/>
      <c r="C2" s="112"/>
      <c r="D2" s="112"/>
      <c r="E2" s="112"/>
      <c r="F2" s="112"/>
      <c r="G2" s="112"/>
      <c r="H2" s="112"/>
      <c r="I2" s="112"/>
      <c r="J2" s="112"/>
      <c r="K2" s="113"/>
    </row>
    <row r="3" spans="1:11" ht="13.5" customHeight="1" x14ac:dyDescent="0.25">
      <c r="A3" s="114" t="s">
        <v>148</v>
      </c>
      <c r="B3" s="115"/>
      <c r="C3" s="115"/>
      <c r="D3" s="115"/>
      <c r="E3" s="115"/>
      <c r="F3" s="115"/>
      <c r="G3" s="115"/>
      <c r="H3" s="115"/>
      <c r="I3" s="115"/>
      <c r="J3" s="115"/>
      <c r="K3" s="116"/>
    </row>
    <row r="4" spans="1:11" ht="13.5" customHeight="1" x14ac:dyDescent="0.25">
      <c r="A4" s="117" t="s">
        <v>150</v>
      </c>
      <c r="B4" s="118"/>
      <c r="C4" s="118"/>
      <c r="D4" s="118"/>
      <c r="E4" s="118"/>
      <c r="F4" s="118"/>
      <c r="G4" s="118"/>
      <c r="H4" s="118"/>
      <c r="I4" s="118"/>
      <c r="J4" s="118"/>
      <c r="K4" s="119"/>
    </row>
    <row r="5" spans="1:11" ht="13.5" customHeight="1" x14ac:dyDescent="0.25">
      <c r="A5" s="117" t="s">
        <v>149</v>
      </c>
      <c r="B5" s="118"/>
      <c r="C5" s="118"/>
      <c r="D5" s="118"/>
      <c r="E5" s="118"/>
      <c r="F5" s="118"/>
      <c r="G5" s="118"/>
      <c r="H5" s="118"/>
      <c r="I5" s="118"/>
      <c r="J5" s="118"/>
      <c r="K5" s="119"/>
    </row>
    <row r="6" spans="1:11" ht="12" x14ac:dyDescent="0.25">
      <c r="A6" s="120" t="s">
        <v>151</v>
      </c>
      <c r="B6" s="121"/>
      <c r="C6" s="121"/>
      <c r="D6" s="121"/>
      <c r="E6" s="121"/>
      <c r="F6" s="121"/>
      <c r="G6" s="121"/>
      <c r="H6" s="121"/>
      <c r="I6" s="121"/>
      <c r="J6" s="121"/>
      <c r="K6" s="122"/>
    </row>
    <row r="7" spans="1:11" ht="14.4" x14ac:dyDescent="0.3">
      <c r="A7" s="81"/>
      <c r="B7" s="79"/>
      <c r="C7" s="79"/>
      <c r="D7" s="79"/>
      <c r="E7" s="79"/>
      <c r="F7" s="79"/>
      <c r="G7" s="79"/>
      <c r="H7" s="79"/>
      <c r="I7" s="79"/>
      <c r="J7" s="79"/>
      <c r="K7" s="80"/>
    </row>
    <row r="8" spans="1:11" ht="13.5" customHeight="1" x14ac:dyDescent="0.25">
      <c r="A8" s="82"/>
      <c r="B8" s="19"/>
      <c r="C8" s="19"/>
      <c r="D8" s="19"/>
      <c r="E8" s="19"/>
      <c r="F8" s="19"/>
      <c r="G8" s="35" t="s">
        <v>152</v>
      </c>
      <c r="H8" s="83">
        <f>IF('Form 11 Format'!A5="","",'Form 11 Format'!A5)</f>
        <v>1011558376</v>
      </c>
      <c r="I8" s="19"/>
      <c r="J8" s="19"/>
      <c r="K8" s="22"/>
    </row>
    <row r="9" spans="1:11" ht="15" customHeight="1" x14ac:dyDescent="0.25">
      <c r="A9" s="32">
        <v>1</v>
      </c>
      <c r="B9" s="123" t="s">
        <v>106</v>
      </c>
      <c r="C9" s="124"/>
      <c r="D9" s="124"/>
      <c r="E9" s="124"/>
      <c r="F9" s="125"/>
      <c r="G9" s="126" t="str">
        <f>IF('Form 11 Format'!B5="","",UPPER('Form 11 Format'!B5))</f>
        <v>NISHA NIKHIL KADAM</v>
      </c>
      <c r="H9" s="127"/>
      <c r="I9" s="127"/>
      <c r="J9" s="127"/>
      <c r="K9" s="128"/>
    </row>
    <row r="10" spans="1:11" ht="15" customHeight="1" x14ac:dyDescent="0.25">
      <c r="A10" s="129"/>
      <c r="B10" s="130" t="s">
        <v>107</v>
      </c>
      <c r="C10" s="131"/>
      <c r="D10" s="131"/>
      <c r="E10" s="131"/>
      <c r="F10" s="132"/>
      <c r="G10" s="133" t="str" cm="1">
        <f t="array" ref="G10">_xlfn.SWITCH(TRUE(),('Form 11 Format'!$D$5)="Father",('Form 11 Format'!$C$5),"")</f>
        <v/>
      </c>
      <c r="H10" s="134"/>
      <c r="I10" s="134"/>
      <c r="J10" s="134"/>
      <c r="K10" s="135"/>
    </row>
    <row r="11" spans="1:11" ht="15" customHeight="1" x14ac:dyDescent="0.25">
      <c r="A11" s="129"/>
      <c r="B11" s="136" t="s">
        <v>108</v>
      </c>
      <c r="C11" s="137"/>
      <c r="D11" s="137"/>
      <c r="E11" s="137"/>
      <c r="F11" s="138"/>
      <c r="G11" s="139" t="str" cm="1">
        <f t="array" ref="G11">_xlfn.SWITCH(TRUE(),('Form 11 Format'!$D$5)="Husband",('Form 11 Format'!$C$5),"")</f>
        <v>Nikhil Maruti Kadam</v>
      </c>
      <c r="H11" s="140"/>
      <c r="I11" s="140"/>
      <c r="J11" s="140"/>
      <c r="K11" s="141"/>
    </row>
    <row r="12" spans="1:11" ht="15" customHeight="1" x14ac:dyDescent="0.25">
      <c r="A12" s="32">
        <v>3</v>
      </c>
      <c r="B12" s="123" t="s">
        <v>126</v>
      </c>
      <c r="C12" s="124"/>
      <c r="D12" s="124"/>
      <c r="E12" s="124"/>
      <c r="F12" s="125"/>
      <c r="G12" s="142" t="str">
        <f>'Form 11 Format'!F5&amp;"-"&amp;'Form 11 Format'!G5&amp;"-"&amp;'Form 11 Format'!H5</f>
        <v>17-7-1996</v>
      </c>
      <c r="H12" s="127"/>
      <c r="I12" s="127"/>
      <c r="J12" s="127"/>
      <c r="K12" s="128"/>
    </row>
    <row r="13" spans="1:11" ht="15" customHeight="1" x14ac:dyDescent="0.25">
      <c r="A13" s="32">
        <v>4</v>
      </c>
      <c r="B13" s="123" t="s">
        <v>109</v>
      </c>
      <c r="C13" s="124"/>
      <c r="D13" s="124"/>
      <c r="E13" s="124"/>
      <c r="F13" s="125"/>
      <c r="G13" s="172"/>
      <c r="H13" s="173"/>
      <c r="I13" s="173"/>
      <c r="J13" s="173"/>
      <c r="K13" s="174"/>
    </row>
    <row r="14" spans="1:11" ht="15" customHeight="1" x14ac:dyDescent="0.25">
      <c r="A14" s="32">
        <v>5</v>
      </c>
      <c r="B14" s="123" t="s">
        <v>110</v>
      </c>
      <c r="C14" s="124"/>
      <c r="D14" s="124"/>
      <c r="E14" s="124"/>
      <c r="F14" s="125"/>
      <c r="G14" s="126" t="str">
        <f>UPPER('Form 11 Format'!E5)</f>
        <v>MARRIED</v>
      </c>
      <c r="H14" s="127"/>
      <c r="I14" s="127"/>
      <c r="J14" s="127"/>
      <c r="K14" s="128"/>
    </row>
    <row r="15" spans="1:11" ht="15" customHeight="1" x14ac:dyDescent="0.25">
      <c r="A15" s="129">
        <v>6</v>
      </c>
      <c r="B15" s="130" t="s">
        <v>111</v>
      </c>
      <c r="C15" s="131"/>
      <c r="D15" s="131"/>
      <c r="E15" s="131"/>
      <c r="F15" s="132"/>
      <c r="G15" s="169"/>
      <c r="H15" s="170"/>
      <c r="I15" s="170"/>
      <c r="J15" s="170"/>
      <c r="K15" s="171"/>
    </row>
    <row r="16" spans="1:11" ht="15" customHeight="1" x14ac:dyDescent="0.25">
      <c r="A16" s="129"/>
      <c r="B16" s="136" t="s">
        <v>112</v>
      </c>
      <c r="C16" s="137"/>
      <c r="D16" s="137"/>
      <c r="E16" s="137"/>
      <c r="F16" s="138"/>
      <c r="G16" s="143">
        <f>IF('Form 11 Format'!Q5="","",'Form 11 Format'!Q5)</f>
        <v>9130721182</v>
      </c>
      <c r="H16" s="140"/>
      <c r="I16" s="140"/>
      <c r="J16" s="140"/>
      <c r="K16" s="141"/>
    </row>
    <row r="17" spans="1:11" ht="15" customHeight="1" x14ac:dyDescent="0.25">
      <c r="A17" s="129">
        <v>7</v>
      </c>
      <c r="B17" s="123" t="s">
        <v>113</v>
      </c>
      <c r="C17" s="124"/>
      <c r="D17" s="124"/>
      <c r="E17" s="124"/>
      <c r="F17" s="125"/>
      <c r="G17" s="172"/>
      <c r="H17" s="173"/>
      <c r="I17" s="173"/>
      <c r="J17" s="173"/>
      <c r="K17" s="174"/>
    </row>
    <row r="18" spans="1:11" ht="15" customHeight="1" x14ac:dyDescent="0.25">
      <c r="A18" s="129"/>
      <c r="B18" s="123" t="s">
        <v>114</v>
      </c>
      <c r="C18" s="124"/>
      <c r="D18" s="124"/>
      <c r="E18" s="124"/>
      <c r="F18" s="125"/>
      <c r="G18" s="126" t="str">
        <f>'Form 11 Format'!I5&amp;"-"&amp;'Form 11 Format'!J5&amp;"-"&amp;'Form 11 Format'!K5</f>
        <v>5-10-2026</v>
      </c>
      <c r="H18" s="127"/>
      <c r="I18" s="127"/>
      <c r="J18" s="127"/>
      <c r="K18" s="128"/>
    </row>
    <row r="19" spans="1:11" ht="15" customHeight="1" x14ac:dyDescent="0.25">
      <c r="A19" s="129">
        <v>8</v>
      </c>
      <c r="B19" s="123" t="s">
        <v>127</v>
      </c>
      <c r="C19" s="124"/>
      <c r="D19" s="124"/>
      <c r="E19" s="124"/>
      <c r="F19" s="125"/>
      <c r="G19" s="175"/>
      <c r="H19" s="176"/>
      <c r="I19" s="176"/>
      <c r="J19" s="176"/>
      <c r="K19" s="177"/>
    </row>
    <row r="20" spans="1:11" ht="15" customHeight="1" x14ac:dyDescent="0.25">
      <c r="A20" s="129"/>
      <c r="B20" s="130" t="s">
        <v>115</v>
      </c>
      <c r="C20" s="131"/>
      <c r="D20" s="131"/>
      <c r="E20" s="131"/>
      <c r="F20" s="132"/>
      <c r="G20" s="169"/>
      <c r="H20" s="170"/>
      <c r="I20" s="170"/>
      <c r="J20" s="170"/>
      <c r="K20" s="171"/>
    </row>
    <row r="21" spans="1:11" ht="15" customHeight="1" x14ac:dyDescent="0.25">
      <c r="A21" s="129"/>
      <c r="B21" s="136" t="s">
        <v>116</v>
      </c>
      <c r="C21" s="137"/>
      <c r="D21" s="137"/>
      <c r="E21" s="137"/>
      <c r="F21" s="138"/>
      <c r="G21" s="180"/>
      <c r="H21" s="181"/>
      <c r="I21" s="181"/>
      <c r="J21" s="181"/>
      <c r="K21" s="182"/>
    </row>
    <row r="22" spans="1:11" ht="15" customHeight="1" x14ac:dyDescent="0.25">
      <c r="A22" s="129"/>
      <c r="B22" s="123" t="s">
        <v>117</v>
      </c>
      <c r="C22" s="124"/>
      <c r="D22" s="124"/>
      <c r="E22" s="124"/>
      <c r="F22" s="125"/>
      <c r="G22" s="142">
        <f>IF('Form 11 Format'!P5="","",'Form 11 Format'!P5)</f>
        <v>474820507890</v>
      </c>
      <c r="H22" s="144"/>
      <c r="I22" s="144"/>
      <c r="J22" s="144"/>
      <c r="K22" s="145"/>
    </row>
    <row r="23" spans="1:11" ht="15" customHeight="1" x14ac:dyDescent="0.25">
      <c r="A23" s="129"/>
      <c r="B23" s="123" t="s">
        <v>118</v>
      </c>
      <c r="C23" s="124"/>
      <c r="D23" s="124"/>
      <c r="E23" s="124"/>
      <c r="F23" s="125"/>
      <c r="G23" s="126" t="str">
        <f>UPPER('Form 11 Format'!O5)</f>
        <v>CRDPM5687D</v>
      </c>
      <c r="H23" s="127"/>
      <c r="I23" s="127"/>
      <c r="J23" s="127"/>
      <c r="K23" s="128"/>
    </row>
    <row r="24" spans="1:11" ht="28.5" customHeight="1" x14ac:dyDescent="0.25">
      <c r="A24" s="32">
        <v>9</v>
      </c>
      <c r="B24" s="123" t="s">
        <v>145</v>
      </c>
      <c r="C24" s="124"/>
      <c r="D24" s="124"/>
      <c r="E24" s="124"/>
      <c r="F24" s="125"/>
      <c r="G24" s="126" t="str">
        <f>IF('Form 11 Format'!L5="","",'Form 11 Format'!L5)</f>
        <v>Yes</v>
      </c>
      <c r="H24" s="127"/>
      <c r="I24" s="127"/>
      <c r="J24" s="127"/>
      <c r="K24" s="128"/>
    </row>
    <row r="25" spans="1:11" ht="15" customHeight="1" x14ac:dyDescent="0.25">
      <c r="A25" s="32">
        <v>10</v>
      </c>
      <c r="B25" s="123" t="s">
        <v>119</v>
      </c>
      <c r="C25" s="124"/>
      <c r="D25" s="124"/>
      <c r="E25" s="124"/>
      <c r="F25" s="125"/>
      <c r="G25" s="126" t="str">
        <f>IF('Form 11 Format'!M5="","",'Form 11 Format'!M5)</f>
        <v>No</v>
      </c>
      <c r="H25" s="127"/>
      <c r="I25" s="127"/>
      <c r="J25" s="127"/>
      <c r="K25" s="128"/>
    </row>
    <row r="26" spans="1:11" ht="13.5" customHeight="1" x14ac:dyDescent="0.25">
      <c r="A26" s="146">
        <v>11</v>
      </c>
      <c r="B26" s="33" t="s">
        <v>120</v>
      </c>
      <c r="C26" s="20"/>
      <c r="D26" s="20"/>
      <c r="E26" s="20"/>
      <c r="F26" s="20"/>
      <c r="G26" s="20"/>
      <c r="H26" s="20"/>
      <c r="I26" s="20"/>
      <c r="J26" s="20"/>
      <c r="K26" s="21"/>
    </row>
    <row r="27" spans="1:11" ht="40.799999999999997" x14ac:dyDescent="0.25">
      <c r="A27" s="147"/>
      <c r="B27" s="84"/>
      <c r="C27" s="25" t="s">
        <v>121</v>
      </c>
      <c r="D27" s="25" t="s">
        <v>122</v>
      </c>
      <c r="E27" s="25" t="s">
        <v>123</v>
      </c>
      <c r="F27" s="25" t="s">
        <v>132</v>
      </c>
      <c r="G27" s="25" t="s">
        <v>133</v>
      </c>
      <c r="H27" s="25" t="s">
        <v>128</v>
      </c>
      <c r="I27" s="25" t="s">
        <v>124</v>
      </c>
      <c r="J27" s="25" t="s">
        <v>125</v>
      </c>
      <c r="K27" s="22"/>
    </row>
    <row r="28" spans="1:11" ht="57" customHeight="1" x14ac:dyDescent="0.25">
      <c r="A28" s="147"/>
      <c r="B28" s="85"/>
      <c r="C28" s="41"/>
      <c r="D28" s="41"/>
      <c r="E28" s="41"/>
      <c r="F28" s="42"/>
      <c r="G28" s="42"/>
      <c r="H28" s="41"/>
      <c r="I28" s="41"/>
      <c r="J28" s="41"/>
      <c r="K28" s="22"/>
    </row>
    <row r="29" spans="1:11" ht="13.5" customHeight="1" x14ac:dyDescent="0.25">
      <c r="A29" s="148"/>
      <c r="B29" s="27"/>
      <c r="C29" s="27"/>
      <c r="D29" s="27"/>
      <c r="E29" s="27"/>
      <c r="F29" s="27"/>
      <c r="G29" s="27"/>
      <c r="H29" s="27"/>
      <c r="I29" s="27"/>
      <c r="J29" s="27"/>
      <c r="K29" s="23"/>
    </row>
    <row r="30" spans="1:11" ht="13.5" customHeight="1" x14ac:dyDescent="0.25">
      <c r="A30" s="146">
        <v>12</v>
      </c>
      <c r="B30" s="33" t="s">
        <v>129</v>
      </c>
      <c r="C30" s="20"/>
      <c r="D30" s="20"/>
      <c r="E30" s="20"/>
      <c r="F30" s="20"/>
      <c r="G30" s="20"/>
      <c r="H30" s="20"/>
      <c r="I30" s="20"/>
      <c r="J30" s="20"/>
      <c r="K30" s="21"/>
    </row>
    <row r="31" spans="1:11" ht="40.799999999999997" x14ac:dyDescent="0.25">
      <c r="A31" s="147"/>
      <c r="B31" s="84"/>
      <c r="C31" s="149" t="s">
        <v>131</v>
      </c>
      <c r="D31" s="150"/>
      <c r="E31" s="25" t="s">
        <v>122</v>
      </c>
      <c r="F31" s="25" t="s">
        <v>130</v>
      </c>
      <c r="G31" s="25" t="s">
        <v>132</v>
      </c>
      <c r="H31" s="25" t="s">
        <v>133</v>
      </c>
      <c r="I31" s="25" t="s">
        <v>128</v>
      </c>
      <c r="J31" s="25" t="s">
        <v>125</v>
      </c>
      <c r="K31" s="22"/>
    </row>
    <row r="32" spans="1:11" ht="60.75" customHeight="1" x14ac:dyDescent="0.25">
      <c r="A32" s="147"/>
      <c r="B32" s="85"/>
      <c r="C32" s="178"/>
      <c r="D32" s="179"/>
      <c r="E32" s="42"/>
      <c r="F32" s="43"/>
      <c r="G32" s="42"/>
      <c r="H32" s="42"/>
      <c r="I32" s="43"/>
      <c r="J32" s="41"/>
      <c r="K32" s="22"/>
    </row>
    <row r="33" spans="1:11" ht="13.5" customHeight="1" x14ac:dyDescent="0.25">
      <c r="A33" s="148"/>
      <c r="B33" s="27"/>
      <c r="C33" s="27"/>
      <c r="D33" s="27"/>
      <c r="E33" s="27"/>
      <c r="F33" s="27"/>
      <c r="G33" s="27"/>
      <c r="H33" s="27"/>
      <c r="I33" s="27"/>
      <c r="J33" s="27"/>
      <c r="K33" s="23"/>
    </row>
    <row r="34" spans="1:11" ht="15" customHeight="1" x14ac:dyDescent="0.25">
      <c r="A34" s="153">
        <v>13</v>
      </c>
      <c r="B34" s="31" t="s">
        <v>153</v>
      </c>
      <c r="C34" s="30"/>
      <c r="D34" s="30"/>
      <c r="E34" s="30"/>
      <c r="F34" s="21"/>
      <c r="G34" s="156" t="str">
        <f>IF('Form 11 Format'!R5="","",'Form 11 Format'!R5)</f>
        <v>No</v>
      </c>
      <c r="H34" s="157"/>
      <c r="I34" s="157"/>
      <c r="J34" s="157"/>
      <c r="K34" s="158"/>
    </row>
    <row r="35" spans="1:11" ht="15" customHeight="1" x14ac:dyDescent="0.25">
      <c r="A35" s="154"/>
      <c r="B35" s="28" t="s">
        <v>134</v>
      </c>
      <c r="C35" s="29"/>
      <c r="D35" s="29"/>
      <c r="E35" s="29"/>
      <c r="F35" s="24"/>
      <c r="G35" s="156" t="str">
        <f>IF('Form 11 Format'!AA5="","",'Form 11 Format'!AA5)</f>
        <v/>
      </c>
      <c r="H35" s="157"/>
      <c r="I35" s="157"/>
      <c r="J35" s="157"/>
      <c r="K35" s="158"/>
    </row>
    <row r="36" spans="1:11" ht="15" customHeight="1" x14ac:dyDescent="0.25">
      <c r="A36" s="154"/>
      <c r="B36" s="28" t="s">
        <v>135</v>
      </c>
      <c r="C36" s="29"/>
      <c r="D36" s="29"/>
      <c r="E36" s="29"/>
      <c r="F36" s="24"/>
      <c r="G36" s="156" t="str">
        <f>IF('Form 11 Format'!T5="","",'Form 11 Format'!T5)</f>
        <v/>
      </c>
      <c r="H36" s="157"/>
      <c r="I36" s="157"/>
      <c r="J36" s="157"/>
      <c r="K36" s="158"/>
    </row>
    <row r="37" spans="1:11" ht="15" customHeight="1" x14ac:dyDescent="0.25">
      <c r="A37" s="155"/>
      <c r="B37" s="26" t="s">
        <v>136</v>
      </c>
      <c r="C37" s="27"/>
      <c r="D37" s="27"/>
      <c r="E37" s="27"/>
      <c r="F37" s="23"/>
      <c r="G37" s="156" t="str">
        <f>IF('Form 11 Format'!V5="","",'Form 11 Format'!V5&amp;" TO "&amp;'Form 11 Format'!W5)</f>
        <v/>
      </c>
      <c r="H37" s="157"/>
      <c r="I37" s="157"/>
      <c r="J37" s="157"/>
      <c r="K37" s="158"/>
    </row>
    <row r="38" spans="1:11" ht="15" customHeight="1" x14ac:dyDescent="0.25">
      <c r="A38" s="34"/>
      <c r="B38" s="19"/>
      <c r="C38" s="19"/>
      <c r="D38" s="19"/>
      <c r="E38" s="19"/>
      <c r="F38" s="19"/>
      <c r="G38" s="19"/>
      <c r="H38" s="19"/>
      <c r="I38" s="19"/>
      <c r="J38" s="19"/>
      <c r="K38" s="19"/>
    </row>
    <row r="39" spans="1:11" ht="13.5" customHeight="1" x14ac:dyDescent="0.25">
      <c r="A39" s="19"/>
      <c r="B39" s="19"/>
      <c r="C39" s="19"/>
      <c r="D39" s="19"/>
      <c r="E39" s="19"/>
      <c r="F39" s="19"/>
      <c r="G39" s="19"/>
      <c r="H39" s="19"/>
      <c r="I39" s="19"/>
      <c r="J39" s="19"/>
      <c r="K39" s="19"/>
    </row>
    <row r="40" spans="1:11" ht="82.5" customHeight="1" x14ac:dyDescent="0.25">
      <c r="A40" s="19"/>
      <c r="B40" s="19"/>
      <c r="C40" s="19"/>
      <c r="D40" s="19"/>
      <c r="E40" s="19"/>
      <c r="F40" s="19"/>
      <c r="G40" s="19"/>
      <c r="H40" s="19"/>
      <c r="I40" s="19"/>
      <c r="J40" s="19"/>
      <c r="K40" s="19"/>
    </row>
    <row r="41" spans="1:11" ht="13.5" customHeight="1" x14ac:dyDescent="0.25">
      <c r="A41" s="159" t="s">
        <v>137</v>
      </c>
      <c r="B41" s="159"/>
      <c r="C41" s="159"/>
      <c r="D41" s="159"/>
      <c r="E41" s="159"/>
      <c r="F41" s="159"/>
      <c r="G41" s="159"/>
      <c r="H41" s="159"/>
      <c r="I41" s="159"/>
      <c r="J41" s="159"/>
      <c r="K41" s="159"/>
    </row>
    <row r="42" spans="1:11" ht="13.5" customHeight="1" x14ac:dyDescent="0.25">
      <c r="A42" s="160" t="s">
        <v>138</v>
      </c>
      <c r="B42" s="160"/>
      <c r="C42" s="160"/>
      <c r="D42" s="160"/>
      <c r="E42" s="160"/>
      <c r="F42" s="160"/>
      <c r="G42" s="160"/>
      <c r="H42" s="160"/>
      <c r="I42" s="160"/>
      <c r="J42" s="160"/>
      <c r="K42" s="160"/>
    </row>
    <row r="43" spans="1:11" ht="13.5" customHeight="1" x14ac:dyDescent="0.25">
      <c r="A43" s="160" t="s">
        <v>140</v>
      </c>
      <c r="B43" s="160"/>
      <c r="C43" s="160"/>
      <c r="D43" s="160"/>
      <c r="E43" s="160"/>
      <c r="F43" s="160"/>
      <c r="G43" s="160"/>
      <c r="H43" s="160"/>
      <c r="I43" s="160"/>
      <c r="J43" s="160"/>
      <c r="K43" s="160"/>
    </row>
    <row r="44" spans="1:11" ht="27" customHeight="1" x14ac:dyDescent="0.25">
      <c r="A44" s="160" t="s">
        <v>139</v>
      </c>
      <c r="B44" s="160"/>
      <c r="C44" s="160"/>
      <c r="D44" s="160"/>
      <c r="E44" s="160"/>
      <c r="F44" s="160"/>
      <c r="G44" s="160"/>
      <c r="H44" s="160"/>
      <c r="I44" s="160"/>
      <c r="J44" s="160"/>
      <c r="K44" s="160"/>
    </row>
    <row r="45" spans="1:11" ht="13.5" customHeight="1" x14ac:dyDescent="0.25">
      <c r="A45" s="160" t="s">
        <v>141</v>
      </c>
      <c r="B45" s="160"/>
      <c r="C45" s="160"/>
      <c r="D45" s="160"/>
      <c r="E45" s="160"/>
      <c r="F45" s="160"/>
      <c r="G45" s="160"/>
      <c r="H45" s="160"/>
      <c r="I45" s="160"/>
      <c r="J45" s="160"/>
      <c r="K45" s="160"/>
    </row>
    <row r="46" spans="1:11" ht="13.5" customHeight="1" x14ac:dyDescent="0.25">
      <c r="A46" s="40"/>
      <c r="B46" s="40"/>
      <c r="C46" s="40"/>
      <c r="D46" s="40"/>
      <c r="E46" s="40"/>
      <c r="F46" s="40"/>
      <c r="G46" s="40"/>
      <c r="H46" s="40"/>
      <c r="I46" s="40"/>
      <c r="J46" s="40"/>
      <c r="K46" s="40"/>
    </row>
    <row r="47" spans="1:11" ht="13.5" customHeight="1" x14ac:dyDescent="0.25">
      <c r="A47" s="40"/>
      <c r="B47" s="40"/>
      <c r="C47" s="40"/>
      <c r="D47" s="40"/>
      <c r="E47" s="40"/>
      <c r="F47" s="40"/>
      <c r="G47" s="40"/>
      <c r="H47" s="40"/>
      <c r="I47" s="40"/>
      <c r="J47" s="40"/>
      <c r="K47" s="40"/>
    </row>
    <row r="48" spans="1:11" ht="13.5" customHeight="1" x14ac:dyDescent="0.25">
      <c r="A48" s="40"/>
      <c r="B48" s="40"/>
      <c r="C48" s="40"/>
      <c r="D48" s="40"/>
      <c r="E48" s="40"/>
      <c r="F48" s="40"/>
      <c r="G48" s="40"/>
      <c r="H48" s="40"/>
      <c r="I48" s="40"/>
      <c r="J48" s="40"/>
      <c r="K48" s="40"/>
    </row>
    <row r="49" spans="1:11" ht="13.5" customHeight="1" x14ac:dyDescent="0.25">
      <c r="A49" s="40"/>
      <c r="B49" s="40"/>
      <c r="C49" s="40"/>
      <c r="D49" s="40"/>
      <c r="E49" s="40"/>
      <c r="F49" s="40"/>
      <c r="G49" s="40"/>
      <c r="H49" s="40"/>
      <c r="I49" s="40"/>
      <c r="J49" s="40"/>
      <c r="K49" s="40"/>
    </row>
    <row r="50" spans="1:11" ht="13.5" customHeight="1" x14ac:dyDescent="0.25">
      <c r="A50" s="38" t="s">
        <v>142</v>
      </c>
      <c r="B50" s="19"/>
      <c r="C50" s="36"/>
      <c r="D50" s="19"/>
      <c r="E50" s="19"/>
      <c r="F50" s="19"/>
      <c r="G50" s="19"/>
      <c r="H50" s="19"/>
      <c r="I50" s="19"/>
      <c r="J50" s="19"/>
      <c r="K50" s="19"/>
    </row>
    <row r="51" spans="1:11" ht="13.5" customHeight="1" x14ac:dyDescent="0.25">
      <c r="A51" s="38" t="s">
        <v>143</v>
      </c>
      <c r="B51" s="19"/>
      <c r="C51" s="19"/>
      <c r="D51" s="19"/>
      <c r="E51" s="19"/>
      <c r="F51" s="19"/>
      <c r="G51" s="19"/>
      <c r="H51" s="161" t="s">
        <v>144</v>
      </c>
      <c r="I51" s="161"/>
      <c r="J51" s="161"/>
      <c r="K51" s="161"/>
    </row>
    <row r="52" spans="1:11" ht="13.5" customHeight="1" x14ac:dyDescent="0.25">
      <c r="A52" s="19"/>
      <c r="B52" s="19"/>
      <c r="C52" s="19"/>
      <c r="D52" s="19"/>
      <c r="E52" s="19"/>
      <c r="F52" s="19"/>
      <c r="G52" s="19"/>
      <c r="H52" s="162" t="str">
        <f>(G9)</f>
        <v>NISHA NIKHIL KADAM</v>
      </c>
      <c r="I52" s="162"/>
      <c r="J52" s="162"/>
      <c r="K52" s="162"/>
    </row>
    <row r="53" spans="1:11" ht="13.5" customHeight="1" x14ac:dyDescent="0.25">
      <c r="A53" s="19"/>
      <c r="B53" s="19"/>
      <c r="C53" s="19"/>
      <c r="D53" s="19"/>
      <c r="E53" s="19"/>
      <c r="F53" s="19"/>
      <c r="G53" s="19"/>
      <c r="H53" s="19"/>
      <c r="I53" s="19"/>
      <c r="J53" s="19"/>
      <c r="K53" s="19"/>
    </row>
    <row r="54" spans="1:11" ht="13.5" customHeight="1" x14ac:dyDescent="0.25">
      <c r="A54" s="19"/>
      <c r="B54" s="19"/>
      <c r="C54" s="19"/>
      <c r="D54" s="19"/>
      <c r="E54" s="19"/>
      <c r="F54" s="19"/>
      <c r="G54" s="19"/>
      <c r="H54" s="19"/>
      <c r="I54" s="19"/>
      <c r="J54" s="19"/>
      <c r="K54" s="19"/>
    </row>
    <row r="55" spans="1:11" ht="13.5" customHeight="1" x14ac:dyDescent="0.25">
      <c r="A55" s="19"/>
      <c r="B55" s="19"/>
      <c r="C55" s="19"/>
      <c r="D55" s="19"/>
      <c r="E55" s="19"/>
      <c r="F55" s="19"/>
      <c r="G55" s="19"/>
      <c r="H55" s="19"/>
      <c r="I55" s="19"/>
      <c r="J55" s="19"/>
      <c r="K55" s="19"/>
    </row>
    <row r="56" spans="1:11" ht="13.5" customHeight="1" x14ac:dyDescent="0.25">
      <c r="A56" s="163" t="s">
        <v>154</v>
      </c>
      <c r="B56" s="163"/>
      <c r="C56" s="163"/>
      <c r="D56" s="163"/>
      <c r="E56" s="163"/>
      <c r="F56" s="163"/>
      <c r="G56" s="163"/>
      <c r="H56" s="163"/>
      <c r="I56" s="163"/>
      <c r="J56" s="163"/>
      <c r="K56" s="163"/>
    </row>
    <row r="57" spans="1:11" ht="13.5" customHeight="1" x14ac:dyDescent="0.25">
      <c r="A57" s="164" t="s">
        <v>164</v>
      </c>
      <c r="B57" s="164"/>
      <c r="C57" s="164"/>
      <c r="D57" s="164"/>
      <c r="E57" s="164"/>
      <c r="F57" s="164"/>
      <c r="G57" s="164"/>
      <c r="H57" s="164"/>
      <c r="I57" s="164"/>
      <c r="J57" s="164"/>
      <c r="K57" s="164"/>
    </row>
    <row r="58" spans="1:11" ht="13.5" customHeight="1" x14ac:dyDescent="0.25">
      <c r="A58" s="161" t="s">
        <v>165</v>
      </c>
      <c r="B58" s="161"/>
      <c r="C58" s="161"/>
      <c r="D58" s="161"/>
      <c r="E58" s="161"/>
      <c r="F58" s="161"/>
      <c r="G58" s="161"/>
      <c r="H58" s="161"/>
      <c r="I58" s="161"/>
      <c r="J58" s="161"/>
      <c r="K58" s="161"/>
    </row>
    <row r="59" spans="1:11" ht="13.5" customHeight="1" x14ac:dyDescent="0.25">
      <c r="A59" s="37"/>
      <c r="B59" s="37"/>
      <c r="C59" s="37"/>
      <c r="D59" s="37"/>
      <c r="E59" s="37"/>
      <c r="F59" s="37"/>
      <c r="G59" s="37"/>
      <c r="H59" s="37"/>
      <c r="I59" s="37"/>
      <c r="J59" s="37"/>
      <c r="K59" s="37"/>
    </row>
    <row r="60" spans="1:11" ht="13.5" customHeight="1" x14ac:dyDescent="0.25">
      <c r="A60" s="164" t="s">
        <v>166</v>
      </c>
      <c r="B60" s="164"/>
      <c r="C60" s="164"/>
      <c r="D60" s="164"/>
      <c r="E60" s="164"/>
      <c r="F60" s="164"/>
      <c r="G60" s="164"/>
      <c r="H60" s="164"/>
      <c r="I60" s="164"/>
      <c r="J60" s="164"/>
      <c r="K60" s="164"/>
    </row>
    <row r="61" spans="1:11" ht="13.5" customHeight="1" x14ac:dyDescent="0.25">
      <c r="A61" s="161" t="s">
        <v>155</v>
      </c>
      <c r="B61" s="161"/>
      <c r="C61" s="161"/>
      <c r="D61" s="161"/>
      <c r="E61" s="161"/>
      <c r="F61" s="161"/>
      <c r="G61" s="161"/>
      <c r="H61" s="161"/>
      <c r="I61" s="161"/>
      <c r="J61" s="161"/>
      <c r="K61" s="161"/>
    </row>
    <row r="62" spans="1:11" ht="13.5" customHeight="1" x14ac:dyDescent="0.25">
      <c r="E62" s="35" t="s">
        <v>156</v>
      </c>
    </row>
    <row r="63" spans="1:11" ht="13.5" customHeight="1" x14ac:dyDescent="0.25">
      <c r="E63" s="35" t="s">
        <v>157</v>
      </c>
    </row>
    <row r="64" spans="1:11" ht="13.5" customHeight="1" x14ac:dyDescent="0.25">
      <c r="E64" s="35" t="s">
        <v>158</v>
      </c>
    </row>
    <row r="66" spans="1:11" ht="13.5" customHeight="1" x14ac:dyDescent="0.25">
      <c r="A66" s="164" t="s">
        <v>159</v>
      </c>
      <c r="B66" s="164"/>
      <c r="C66" s="164"/>
      <c r="D66" s="164"/>
      <c r="E66" s="164"/>
      <c r="F66" s="164"/>
      <c r="G66" s="164"/>
      <c r="H66" s="164"/>
      <c r="I66" s="164"/>
      <c r="J66" s="164"/>
      <c r="K66" s="164"/>
    </row>
    <row r="67" spans="1:11" ht="13.5" customHeight="1" x14ac:dyDescent="0.25">
      <c r="A67" s="39"/>
      <c r="C67" s="39" t="s">
        <v>167</v>
      </c>
    </row>
    <row r="68" spans="1:11" ht="13.5" customHeight="1" x14ac:dyDescent="0.25">
      <c r="C68" s="166" t="s">
        <v>160</v>
      </c>
      <c r="D68" s="166"/>
      <c r="E68" s="166"/>
      <c r="F68" s="166"/>
      <c r="G68" s="166"/>
      <c r="H68" s="166"/>
      <c r="I68" s="166"/>
      <c r="J68" s="166"/>
      <c r="K68" s="166"/>
    </row>
    <row r="69" spans="1:11" ht="13.5" customHeight="1" x14ac:dyDescent="0.25">
      <c r="C69" s="166"/>
      <c r="D69" s="166"/>
      <c r="E69" s="166"/>
      <c r="F69" s="166"/>
      <c r="G69" s="166"/>
      <c r="H69" s="166"/>
      <c r="I69" s="166"/>
      <c r="J69" s="166"/>
      <c r="K69" s="166"/>
    </row>
    <row r="70" spans="1:11" ht="13.5" customHeight="1" x14ac:dyDescent="0.25">
      <c r="C70" s="35" t="s">
        <v>161</v>
      </c>
    </row>
    <row r="76" spans="1:11" ht="13.5" customHeight="1" x14ac:dyDescent="0.25">
      <c r="A76" s="38" t="s">
        <v>142</v>
      </c>
      <c r="F76" s="167" t="s">
        <v>162</v>
      </c>
      <c r="G76" s="167"/>
      <c r="H76" s="167"/>
      <c r="I76" s="167"/>
      <c r="J76" s="167"/>
    </row>
    <row r="78" spans="1:11" ht="13.5" customHeight="1" x14ac:dyDescent="0.25">
      <c r="A78" s="165" t="s">
        <v>163</v>
      </c>
      <c r="B78" s="165"/>
      <c r="C78" s="165"/>
      <c r="D78" s="165"/>
      <c r="E78" s="165"/>
      <c r="F78" s="165"/>
      <c r="G78" s="165"/>
      <c r="H78" s="165"/>
      <c r="I78" s="165"/>
      <c r="J78" s="165"/>
      <c r="K78" s="165"/>
    </row>
    <row r="79" spans="1:11" ht="13.5" customHeight="1" x14ac:dyDescent="0.25">
      <c r="A79" s="165"/>
      <c r="B79" s="165"/>
      <c r="C79" s="165"/>
      <c r="D79" s="165"/>
      <c r="E79" s="165"/>
      <c r="F79" s="165"/>
      <c r="G79" s="165"/>
      <c r="H79" s="165"/>
      <c r="I79" s="165"/>
      <c r="J79" s="165"/>
      <c r="K79" s="165"/>
    </row>
  </sheetData>
  <sheetProtection selectLockedCells="1"/>
  <mergeCells count="69">
    <mergeCell ref="H51:K51"/>
    <mergeCell ref="H52:K52"/>
    <mergeCell ref="A57:K57"/>
    <mergeCell ref="A56:K56"/>
    <mergeCell ref="A58:K58"/>
    <mergeCell ref="A60:K60"/>
    <mergeCell ref="A61:K61"/>
    <mergeCell ref="A66:K66"/>
    <mergeCell ref="C68:K69"/>
    <mergeCell ref="A78:K79"/>
    <mergeCell ref="F76:J76"/>
    <mergeCell ref="A44:K44"/>
    <mergeCell ref="A45:K45"/>
    <mergeCell ref="B21:F21"/>
    <mergeCell ref="B22:F22"/>
    <mergeCell ref="B23:F23"/>
    <mergeCell ref="B24:F24"/>
    <mergeCell ref="B25:F25"/>
    <mergeCell ref="A30:A33"/>
    <mergeCell ref="C31:D31"/>
    <mergeCell ref="C32:D32"/>
    <mergeCell ref="A26:A29"/>
    <mergeCell ref="G34:K34"/>
    <mergeCell ref="G35:K35"/>
    <mergeCell ref="G36:K36"/>
    <mergeCell ref="G37:K37"/>
    <mergeCell ref="G21:K21"/>
    <mergeCell ref="A34:A37"/>
    <mergeCell ref="A41:K41"/>
    <mergeCell ref="A42:K42"/>
    <mergeCell ref="A43:K43"/>
    <mergeCell ref="B15:F15"/>
    <mergeCell ref="B16:F16"/>
    <mergeCell ref="B17:F17"/>
    <mergeCell ref="B18:F18"/>
    <mergeCell ref="B19:F19"/>
    <mergeCell ref="B20:F20"/>
    <mergeCell ref="A15:A16"/>
    <mergeCell ref="A17:A18"/>
    <mergeCell ref="A19:A23"/>
    <mergeCell ref="G19:K19"/>
    <mergeCell ref="G16:K16"/>
    <mergeCell ref="G17:K17"/>
    <mergeCell ref="A1:K1"/>
    <mergeCell ref="A2:K2"/>
    <mergeCell ref="A3:K3"/>
    <mergeCell ref="A4:K4"/>
    <mergeCell ref="A5:K5"/>
    <mergeCell ref="A6:K6"/>
    <mergeCell ref="B9:F9"/>
    <mergeCell ref="B10:F10"/>
    <mergeCell ref="B11:F11"/>
    <mergeCell ref="B12:F12"/>
    <mergeCell ref="B13:F13"/>
    <mergeCell ref="B14:F14"/>
    <mergeCell ref="A10:A11"/>
    <mergeCell ref="G14:K14"/>
    <mergeCell ref="G15:K15"/>
    <mergeCell ref="G18:K18"/>
    <mergeCell ref="G9:K9"/>
    <mergeCell ref="G10:K10"/>
    <mergeCell ref="G11:K11"/>
    <mergeCell ref="G12:K12"/>
    <mergeCell ref="G13:K13"/>
    <mergeCell ref="G22:K22"/>
    <mergeCell ref="G23:K23"/>
    <mergeCell ref="G24:K24"/>
    <mergeCell ref="G25:K25"/>
    <mergeCell ref="G20:K20"/>
  </mergeCells>
  <pageMargins left="0.23622047244094491" right="0.23622047244094491" top="0.74803149606299213" bottom="0.74803149606299213" header="0.31496062992125984" footer="0.31496062992125984"/>
  <pageSetup paperSize="9"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2052" r:id="rId4" name="Check Box 4">
              <controlPr defaultSize="0" autoFill="0" autoLine="0" autoPict="0">
                <anchor moveWithCells="1">
                  <from>
                    <xdr:col>2</xdr:col>
                    <xdr:colOff>723900</xdr:colOff>
                    <xdr:row>8</xdr:row>
                    <xdr:rowOff>160020</xdr:rowOff>
                  </from>
                  <to>
                    <xdr:col>2</xdr:col>
                    <xdr:colOff>982980</xdr:colOff>
                    <xdr:row>10</xdr:row>
                    <xdr:rowOff>7620</xdr:rowOff>
                  </to>
                </anchor>
              </controlPr>
            </control>
          </mc:Choice>
        </mc:AlternateContent>
        <mc:AlternateContent xmlns:mc="http://schemas.openxmlformats.org/markup-compatibility/2006">
          <mc:Choice Requires="x14">
            <control shapeId="2054" r:id="rId5" name="Check Box 6">
              <controlPr defaultSize="0" autoFill="0" autoLine="0" autoPict="0">
                <anchor moveWithCells="1">
                  <from>
                    <xdr:col>3</xdr:col>
                    <xdr:colOff>373380</xdr:colOff>
                    <xdr:row>61</xdr:row>
                    <xdr:rowOff>160020</xdr:rowOff>
                  </from>
                  <to>
                    <xdr:col>3</xdr:col>
                    <xdr:colOff>579120</xdr:colOff>
                    <xdr:row>63</xdr:row>
                    <xdr:rowOff>22860</xdr:rowOff>
                  </to>
                </anchor>
              </controlPr>
            </control>
          </mc:Choice>
        </mc:AlternateContent>
        <mc:AlternateContent xmlns:mc="http://schemas.openxmlformats.org/markup-compatibility/2006">
          <mc:Choice Requires="x14">
            <control shapeId="2055" r:id="rId6" name="Check Box 7">
              <controlPr defaultSize="0" autoFill="0" autoLine="0" autoPict="0">
                <anchor moveWithCells="1">
                  <from>
                    <xdr:col>3</xdr:col>
                    <xdr:colOff>373380</xdr:colOff>
                    <xdr:row>62</xdr:row>
                    <xdr:rowOff>160020</xdr:rowOff>
                  </from>
                  <to>
                    <xdr:col>3</xdr:col>
                    <xdr:colOff>579120</xdr:colOff>
                    <xdr:row>64</xdr:row>
                    <xdr:rowOff>22860</xdr:rowOff>
                  </to>
                </anchor>
              </controlPr>
            </control>
          </mc:Choice>
        </mc:AlternateContent>
        <mc:AlternateContent xmlns:mc="http://schemas.openxmlformats.org/markup-compatibility/2006">
          <mc:Choice Requires="x14">
            <control shapeId="2056" r:id="rId7" name="Check Box 8">
              <controlPr defaultSize="0" autoFill="0" autoLine="0" autoPict="0">
                <anchor moveWithCells="1">
                  <from>
                    <xdr:col>3</xdr:col>
                    <xdr:colOff>373380</xdr:colOff>
                    <xdr:row>60</xdr:row>
                    <xdr:rowOff>160020</xdr:rowOff>
                  </from>
                  <to>
                    <xdr:col>3</xdr:col>
                    <xdr:colOff>579120</xdr:colOff>
                    <xdr:row>62</xdr:row>
                    <xdr:rowOff>22860</xdr:rowOff>
                  </to>
                </anchor>
              </controlPr>
            </control>
          </mc:Choice>
        </mc:AlternateContent>
        <mc:AlternateContent xmlns:mc="http://schemas.openxmlformats.org/markup-compatibility/2006">
          <mc:Choice Requires="x14">
            <control shapeId="2057" r:id="rId8" name="Check Box 9">
              <controlPr defaultSize="0" autoFill="0" autoLine="0" autoPict="0">
                <anchor moveWithCells="1">
                  <from>
                    <xdr:col>0</xdr:col>
                    <xdr:colOff>190500</xdr:colOff>
                    <xdr:row>67</xdr:row>
                    <xdr:rowOff>22860</xdr:rowOff>
                  </from>
                  <to>
                    <xdr:col>2</xdr:col>
                    <xdr:colOff>45720</xdr:colOff>
                    <xdr:row>68</xdr:row>
                    <xdr:rowOff>45720</xdr:rowOff>
                  </to>
                </anchor>
              </controlPr>
            </control>
          </mc:Choice>
        </mc:AlternateContent>
        <mc:AlternateContent xmlns:mc="http://schemas.openxmlformats.org/markup-compatibility/2006">
          <mc:Choice Requires="x14">
            <control shapeId="2058" r:id="rId9" name="Check Box 10">
              <controlPr defaultSize="0" autoFill="0" autoLine="0" autoPict="0">
                <anchor moveWithCells="1">
                  <from>
                    <xdr:col>0</xdr:col>
                    <xdr:colOff>190500</xdr:colOff>
                    <xdr:row>68</xdr:row>
                    <xdr:rowOff>175260</xdr:rowOff>
                  </from>
                  <to>
                    <xdr:col>2</xdr:col>
                    <xdr:colOff>45720</xdr:colOff>
                    <xdr:row>70</xdr:row>
                    <xdr:rowOff>30480</xdr:rowOff>
                  </to>
                </anchor>
              </controlPr>
            </control>
          </mc:Choice>
        </mc:AlternateContent>
        <mc:AlternateContent xmlns:mc="http://schemas.openxmlformats.org/markup-compatibility/2006">
          <mc:Choice Requires="x14">
            <control shapeId="2060" r:id="rId10" name="Check Box 12">
              <controlPr defaultSize="0" autoFill="0" autoLine="0" autoPict="0">
                <anchor moveWithCells="1">
                  <from>
                    <xdr:col>2</xdr:col>
                    <xdr:colOff>731520</xdr:colOff>
                    <xdr:row>9</xdr:row>
                    <xdr:rowOff>152400</xdr:rowOff>
                  </from>
                  <to>
                    <xdr:col>2</xdr:col>
                    <xdr:colOff>990600</xdr:colOff>
                    <xdr:row>11</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XMLData TextToDisplay="%DOCUMENTGUID%">{00000000-0000-0000-0000-000000000000}</XMLData>
</file>

<file path=customXml/item2.xml><?xml version="1.0" encoding="utf-8"?>
<XMLData TextToDisplay="RightsWATCHMark">8|CITI-No PII-Internal|{00000000-0000-0000-0000-000000000000}</XMLData>
</file>

<file path=customXml/item3.xml><?xml version="1.0" encoding="utf-8"?>
<XMLData TextToDisplay="%CLASSIFICATIONDATETIME%">14:23 06/07/2021</XMLData>
</file>

<file path=customXml/itemProps1.xml><?xml version="1.0" encoding="utf-8"?>
<ds:datastoreItem xmlns:ds="http://schemas.openxmlformats.org/officeDocument/2006/customXml" ds:itemID="{96E029B9-B5D5-4A39-846B-3F596C7FE03B}">
  <ds:schemaRefs/>
</ds:datastoreItem>
</file>

<file path=customXml/itemProps2.xml><?xml version="1.0" encoding="utf-8"?>
<ds:datastoreItem xmlns:ds="http://schemas.openxmlformats.org/officeDocument/2006/customXml" ds:itemID="{729D2554-1E05-4A4C-AE8C-3BE8971B54BB}">
  <ds:schemaRefs/>
</ds:datastoreItem>
</file>

<file path=customXml/itemProps3.xml><?xml version="1.0" encoding="utf-8"?>
<ds:datastoreItem xmlns:ds="http://schemas.openxmlformats.org/officeDocument/2006/customXml" ds:itemID="{35CE66E3-C9E9-4FF1-B59C-EA614A72F4F6}">
  <ds:schemaRefs/>
</ds:datastoreItem>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vt:lpstr>
      <vt:lpstr>UAN_Process</vt:lpstr>
      <vt:lpstr>Form 11 Format</vt:lpstr>
      <vt:lpstr>PDFFORM</vt:lpstr>
      <vt:lpstr>'Form 11 Format'!Print_Area</vt:lpstr>
      <vt:lpstr>PDFFORM!Print_Area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sainathm</dc:creator>
  <cp:lastModifiedBy>Kadam, Nisha</cp:lastModifiedBy>
  <cp:lastPrinted>2026-05-21T06:30:02Z</cp:lastPrinted>
  <dcterms:created xsi:type="dcterms:W3CDTF">2021-06-01T05:30:51Z</dcterms:created>
  <dcterms:modified xsi:type="dcterms:W3CDTF">2026-08-03T12:24:55Z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ightsWATCHMark">
    <vt:lpwstr>8|CITI-No PII-Internal|{00000000-0000-0000-0000-000000000000}</vt:lpwstr>
  </property>
  <property fmtid="{D5CDD505-2E9C-101B-9397-08002B2CF9AE}" pid="3" name="MSIP_Label_dd181445-6ec4-4473-9810-00785f082df0_Enabled">
    <vt:lpwstr>true</vt:lpwstr>
  </property>
  <property fmtid="{D5CDD505-2E9C-101B-9397-08002B2CF9AE}" pid="4" name="MSIP_Label_dd181445-6ec4-4473-9810-00785f082df0_SetDate">
    <vt:lpwstr>2022-08-22T07:50:04Z</vt:lpwstr>
  </property>
  <property fmtid="{D5CDD505-2E9C-101B-9397-08002B2CF9AE}" pid="5" name="MSIP_Label_dd181445-6ec4-4473-9810-00785f082df0_Method">
    <vt:lpwstr>Privileged</vt:lpwstr>
  </property>
  <property fmtid="{D5CDD505-2E9C-101B-9397-08002B2CF9AE}" pid="6" name="MSIP_Label_dd181445-6ec4-4473-9810-00785f082df0_Name">
    <vt:lpwstr>Internal</vt:lpwstr>
  </property>
  <property fmtid="{D5CDD505-2E9C-101B-9397-08002B2CF9AE}" pid="7" name="MSIP_Label_dd181445-6ec4-4473-9810-00785f082df0_SiteId">
    <vt:lpwstr>1771ae17-e764-4e0f-a476-d4184d79a5d9</vt:lpwstr>
  </property>
  <property fmtid="{D5CDD505-2E9C-101B-9397-08002B2CF9AE}" pid="8" name="MSIP_Label_dd181445-6ec4-4473-9810-00785f082df0_ActionId">
    <vt:lpwstr>b60f639b-f251-4740-a4e0-f2af31368a23</vt:lpwstr>
  </property>
  <property fmtid="{D5CDD505-2E9C-101B-9397-08002B2CF9AE}" pid="9" name="MSIP_Label_dd181445-6ec4-4473-9810-00785f082df0_ContentBits">
    <vt:lpwstr>0</vt:lpwstr>
  </property>
</Properties>
</file>